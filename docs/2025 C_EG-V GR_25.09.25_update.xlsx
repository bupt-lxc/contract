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PBTMS5\Desktop\"/>
    </mc:Choice>
  </mc:AlternateContent>
  <xr:revisionPtr revIDLastSave="0" documentId="13_ncr:1_{989DA547-BA8B-4EF2-9889-38A0D350A3A5}" xr6:coauthVersionLast="47" xr6:coauthVersionMax="47" xr10:uidLastSave="{00000000-0000-0000-0000-000000000000}"/>
  <bookViews>
    <workbookView xWindow="-19310" yWindow="-2130" windowWidth="19420" windowHeight="11500" xr2:uid="{09754707-2576-4242-B756-66DDF6F8DAE5}"/>
  </bookViews>
  <sheets>
    <sheet name="Sheet1" sheetId="1" r:id="rId1"/>
  </sheets>
  <definedNames>
    <definedName name="_xlnm._FilterDatabase" localSheetId="0" hidden="1">Sheet1!$A$1:$K$195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6" i="1" l="1"/>
  <c r="I196" i="1"/>
  <c r="H196" i="1"/>
  <c r="K194" i="1"/>
  <c r="K193" i="1"/>
  <c r="J64" i="1"/>
  <c r="J63" i="1"/>
  <c r="J86" i="1"/>
  <c r="K190" i="1"/>
  <c r="K191" i="1"/>
  <c r="K192" i="1"/>
  <c r="K195" i="1"/>
  <c r="I118" i="1"/>
  <c r="K51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3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2" i="1"/>
</calcChain>
</file>

<file path=xl/sharedStrings.xml><?xml version="1.0" encoding="utf-8"?>
<sst xmlns="http://schemas.openxmlformats.org/spreadsheetml/2006/main" count="482" uniqueCount="267">
  <si>
    <t>Requester</t>
    <phoneticPr fontId="10" type="noConversion"/>
  </si>
  <si>
    <t>SC no</t>
  </si>
  <si>
    <t>PO number</t>
  </si>
  <si>
    <t>Short Text</t>
  </si>
  <si>
    <t>SC amount</t>
  </si>
  <si>
    <t>PO amount</t>
  </si>
  <si>
    <t>2024 GR</t>
  </si>
  <si>
    <t>2024 Provision</t>
  </si>
  <si>
    <t>2025 GR</t>
  </si>
  <si>
    <t>2025 to be GR</t>
  </si>
  <si>
    <t>2025 FC GR</t>
  </si>
  <si>
    <t>Remark</t>
    <phoneticPr fontId="10" type="noConversion"/>
  </si>
  <si>
    <t>WYN</t>
    <phoneticPr fontId="10" type="noConversion"/>
  </si>
  <si>
    <t>Security service</t>
  </si>
  <si>
    <t>Parking service outside Beijing</t>
  </si>
  <si>
    <t>Security Service Cada Capa Event in SH</t>
  </si>
  <si>
    <t>YXR</t>
    <phoneticPr fontId="10" type="noConversion"/>
  </si>
  <si>
    <t>Test station and workshop in Hefei</t>
  </si>
  <si>
    <t>Zynit</t>
  </si>
  <si>
    <t>Lizheng</t>
    <phoneticPr fontId="10" type="noConversion"/>
  </si>
  <si>
    <t>Tools and supplies for Workshop BJ+Anhui</t>
  </si>
  <si>
    <t>PPE Harness Processing</t>
  </si>
  <si>
    <t>Testing Workshop Supplies</t>
  </si>
  <si>
    <t>Workshop-MRO Contract extension</t>
  </si>
  <si>
    <t>ZLW</t>
    <phoneticPr fontId="10" type="noConversion"/>
  </si>
  <si>
    <t>Trailer inner city/Yanjiao</t>
  </si>
  <si>
    <t>Import&amp;Export service for 2024 and 2025</t>
  </si>
  <si>
    <t>Zelda modules - CANFD</t>
  </si>
  <si>
    <t>Zelda modules - LIN</t>
  </si>
  <si>
    <t>Trailer inner city-Outside of BJ 2024 h2</t>
  </si>
  <si>
    <t>Trailer inner city-Outside of BJ 2025</t>
  </si>
  <si>
    <t>Trailer inner city-Outside of BJ 2026</t>
  </si>
  <si>
    <t>SJL</t>
    <phoneticPr fontId="10" type="noConversion"/>
  </si>
  <si>
    <t>Extension TeamOne contract 2 years 2*Engineer Local 2023</t>
  </si>
  <si>
    <t>2*Engineer Local 2024_TeamOne</t>
  </si>
  <si>
    <t>2*Engineer Local 2025_TeamOne</t>
  </si>
  <si>
    <t>Inner city charter trailer</t>
  </si>
  <si>
    <t>Test Plate service extension--7300051942</t>
  </si>
  <si>
    <t>FEV</t>
  </si>
  <si>
    <t>Car &amp; WK floor cleaning for 2025</t>
  </si>
  <si>
    <t>Car &amp; WK floor cleaning_1st half of 2026</t>
  </si>
  <si>
    <t>Domestic transport_2024.6.1-2024.12.31</t>
  </si>
  <si>
    <t>Domestic transport_2025</t>
  </si>
  <si>
    <t>Domestic transport_2026.1.1-2026.09.30</t>
  </si>
  <si>
    <t>FAW&amp;SVW_Audi spareparts outsourcing</t>
  </si>
  <si>
    <t>FAW_Spareparts_Outsourcing</t>
  </si>
  <si>
    <t>Domestic general cargo transportation 2024</t>
  </si>
  <si>
    <t>Last delivery in 2025. The PO will not be used.</t>
  </si>
  <si>
    <t>Domestic general cargo transportation 2025</t>
  </si>
  <si>
    <t>Last delivery in 2025.The PO will not be used.</t>
  </si>
  <si>
    <t>SVW_Sparepart_Outsourcing</t>
  </si>
  <si>
    <t>EGW_Maintenance Repair Tools</t>
  </si>
  <si>
    <t>Power supply simulation LVA2500</t>
  </si>
  <si>
    <t>Quiescent current measurement system</t>
  </si>
  <si>
    <t>Test car logistic all over China_Shihao</t>
    <phoneticPr fontId="10" type="noConversion"/>
  </si>
  <si>
    <t>Test driver service</t>
  </si>
  <si>
    <t>Development Engineering Support_Teamone</t>
    <phoneticPr fontId="10" type="noConversion"/>
  </si>
  <si>
    <t>contract has expired</t>
    <phoneticPr fontId="10" type="noConversion"/>
  </si>
  <si>
    <t>EGW on-site Support_Teamone</t>
    <phoneticPr fontId="10" type="noConversion"/>
  </si>
  <si>
    <t>Test car insurance 01.01.24-31.05.24</t>
  </si>
  <si>
    <t>Custom service for cargo import</t>
  </si>
  <si>
    <t>SJL</t>
  </si>
  <si>
    <t>Workshop onsite support service Feb.-Oct</t>
  </si>
  <si>
    <t>Last delivery in 2025,call offed PO quantity was used up</t>
  </si>
  <si>
    <t>Test car insurance 2024.5.1-2024.12.31</t>
  </si>
  <si>
    <t>Last delivery in 2024</t>
    <phoneticPr fontId="10" type="noConversion"/>
  </si>
  <si>
    <t>Local onsite support for parts &amp; fleet_AKKA</t>
  </si>
  <si>
    <t>the call offed PO will not be used in 2025</t>
  </si>
  <si>
    <t>Confidential car guarding service</t>
  </si>
  <si>
    <t>Travel cost for technical support_part 1</t>
  </si>
  <si>
    <t>Test plate service July 2024-Dec 2024</t>
  </si>
  <si>
    <t>Test plate service Jan to Jun 2025</t>
  </si>
  <si>
    <t>Zhongcheng</t>
  </si>
  <si>
    <t>Meizeng</t>
  </si>
  <si>
    <t>Guard service for prototype</t>
  </si>
  <si>
    <t>PO7600041358 Call-off_Test car rental</t>
  </si>
  <si>
    <t>Zelda modules for EGI &amp;EGQ OTA Test</t>
  </si>
  <si>
    <t>Test car insurance from 1st August 2024</t>
  </si>
  <si>
    <t>V-Labs B205, B163 and A257 renovation</t>
  </si>
  <si>
    <t>SC &amp; PO To be canceled</t>
  </si>
  <si>
    <t>Zhang Jufeng</t>
    <phoneticPr fontId="10" type="noConversion"/>
  </si>
  <si>
    <t>DG Transportation</t>
  </si>
  <si>
    <t>custom clearance</t>
  </si>
  <si>
    <t>Stratasys 3D Printer maintenance</t>
  </si>
  <si>
    <t>Workshop onsite support service 2025</t>
  </si>
  <si>
    <t>Travel cost for technical support_part 2</t>
  </si>
  <si>
    <t>Cui Tong</t>
    <phoneticPr fontId="10" type="noConversion"/>
  </si>
  <si>
    <t>Big shuttle bus service 2025 (v-lab)</t>
  </si>
  <si>
    <t>U-turn temporary import cars</t>
  </si>
  <si>
    <t>Temporary import equipments in car</t>
  </si>
  <si>
    <t>FAW-VW Spare parts&amp;maintenance service</t>
  </si>
  <si>
    <t>Tint film &amp; change windshield</t>
  </si>
  <si>
    <t>Temporary import testing cars</t>
  </si>
  <si>
    <t>U-turn to HK service for 2 cars_CTS</t>
  </si>
  <si>
    <t>Domestic general cargo transportation 2025_New contract</t>
  </si>
  <si>
    <t>Domestic general cargo transportation 2026_New contract</t>
  </si>
  <si>
    <t>Domestic general cargo transportation 2027_New contract</t>
  </si>
  <si>
    <t>Domestic general cargo transportation 2028_New contract</t>
  </si>
  <si>
    <t>FAW - AUDI maintenance spare parts</t>
  </si>
  <si>
    <t>Yang Qiaomin</t>
    <phoneticPr fontId="10" type="noConversion"/>
  </si>
  <si>
    <t>TCA project extension</t>
  </si>
  <si>
    <t>Raw Materials of Wire Harness Production</t>
  </si>
  <si>
    <t>Additional SC_Test car rental_call off</t>
  </si>
  <si>
    <t>JTSD</t>
  </si>
  <si>
    <t>Custom service for cargo import 2025_New Contract</t>
  </si>
  <si>
    <t>DLV</t>
  </si>
  <si>
    <t>PPO2025080000124</t>
  </si>
  <si>
    <t>PPE NCM Battery MBCe replacement service</t>
  </si>
  <si>
    <t>Data SIM Card</t>
  </si>
  <si>
    <t>MS670 tire removal machine accessories</t>
  </si>
  <si>
    <t>10xHCP1&amp;10xHCP4 Adapter</t>
  </si>
  <si>
    <t>Last delivery in 2025</t>
  </si>
  <si>
    <t>Test plate service for probe type cars</t>
  </si>
  <si>
    <t>Vesmar</t>
  </si>
  <si>
    <t>Domestic DG goods transportation</t>
  </si>
  <si>
    <t>Meas.Equip. VN1161 retention&amp;declaration</t>
  </si>
  <si>
    <t>Equipment packing service</t>
  </si>
  <si>
    <t>Test service call-off 7600041849</t>
  </si>
  <si>
    <t>U-turn service testing vehicle</t>
  </si>
  <si>
    <t>Business insurance of test vehicle</t>
  </si>
  <si>
    <t>Sercurity service for prototype</t>
  </si>
  <si>
    <t>Sercurity service for 2026</t>
  </si>
  <si>
    <t>VARIO DYNAMICS PRO series safety shoes</t>
  </si>
  <si>
    <t>Password locks&amp; car clothing straps</t>
  </si>
  <si>
    <t>Sheng Zhengxian</t>
    <phoneticPr fontId="10" type="noConversion"/>
  </si>
  <si>
    <t>Porsche Advanced Driving Training for Prototype vehicle, training in Sep.-Dec.</t>
    <phoneticPr fontId="10" type="noConversion"/>
  </si>
  <si>
    <t>trailer inner city</t>
  </si>
  <si>
    <t>Li, Yanping</t>
    <phoneticPr fontId="10" type="noConversion"/>
  </si>
  <si>
    <t>Purchasing 48 V Batteries</t>
  </si>
  <si>
    <t>Imp. extension&amp;export for 1xMesstechnick</t>
    <phoneticPr fontId="10" type="noConversion"/>
  </si>
  <si>
    <t>U-Turn HK strotage fee for TB005 &amp;TI001</t>
  </si>
  <si>
    <t>Intl. logistic_Im.&amp;Export&amp;Transport etc.</t>
  </si>
  <si>
    <t>KN</t>
  </si>
  <si>
    <t>DLV2025010000091</t>
  </si>
  <si>
    <t>Parts &amp; Accessory Logistics via VGIC</t>
  </si>
  <si>
    <t>Zhang Jufeng</t>
  </si>
  <si>
    <t>Maintenance the rolling shutter door</t>
  </si>
  <si>
    <t>Hazardous waste disposal</t>
  </si>
  <si>
    <t>1x vSignalyzer for the Ref-Car project</t>
  </si>
  <si>
    <t>Winter Tyres for E6</t>
  </si>
  <si>
    <t>HV MEAS BOX &amp; Adapter</t>
  </si>
  <si>
    <t>Additional cost for test plate service</t>
  </si>
  <si>
    <t>The SC was canceled</t>
    <phoneticPr fontId="10" type="noConversion"/>
  </si>
  <si>
    <t>PPO2025020000061</t>
  </si>
  <si>
    <t>SPAREPARTS OUTSOURCING</t>
  </si>
  <si>
    <t>PPO2025010000261</t>
    <phoneticPr fontId="10" type="noConversion"/>
  </si>
  <si>
    <t>Porsche Advanced Driving Training for R&amp;D 2025.1</t>
    <phoneticPr fontId="10" type="noConversion"/>
  </si>
  <si>
    <t>Accessories(TTL converter)</t>
  </si>
  <si>
    <t>Sercurity service for prototype 202503</t>
  </si>
  <si>
    <t>Extension for PPEproject_Harnnessprocess</t>
  </si>
  <si>
    <t>Vehicle camouflage remove</t>
  </si>
  <si>
    <t>Reca</t>
    <phoneticPr fontId="10" type="noConversion"/>
  </si>
  <si>
    <t>AUDI VLABS Cafeteria 202501-202506</t>
  </si>
  <si>
    <t>32*VAS 6154/12 USB</t>
  </si>
  <si>
    <t>V-labs FM 2025</t>
  </si>
  <si>
    <t>Lizheng</t>
  </si>
  <si>
    <t>23*VAS 6154 WLAN</t>
  </si>
  <si>
    <t>10xHV-Fuse</t>
  </si>
  <si>
    <t>Coffee service bgt for V-Labs Audi--2025</t>
  </si>
  <si>
    <t>202501-08 V-Labs Drinking Water (Audi)</t>
  </si>
  <si>
    <t>2025 VLABS Green Plants (Audi)</t>
  </si>
  <si>
    <t>V-Labs Audi office supply in Jan/2025</t>
  </si>
  <si>
    <t>V-Labs Network Computer Room CRAC Mainte</t>
  </si>
  <si>
    <t>Audi office supply bgt in 2025-V-Labs</t>
  </si>
  <si>
    <t>PPO2025030000201</t>
  </si>
  <si>
    <t>Porsche advanced training Feb</t>
  </si>
  <si>
    <t>Cargo import service</t>
  </si>
  <si>
    <t>V-Labs coffee service in Jan</t>
  </si>
  <si>
    <t>PPO2025030000411</t>
  </si>
  <si>
    <t>Porsche Advanced Driving Training for R&amp;D 2025.3</t>
  </si>
  <si>
    <t>V Labs-Guarding Service (Jan-Mar 15.2025)</t>
  </si>
  <si>
    <t>Domestic DG goods Transportation_NEW Contract</t>
  </si>
  <si>
    <t>In contract process</t>
  </si>
  <si>
    <t>PPO2025040000052</t>
  </si>
  <si>
    <t>SPAREPARTS OUTSOURCING Mar</t>
  </si>
  <si>
    <t>Contract extension--test vehicle rental</t>
  </si>
  <si>
    <t>Xin Tianya</t>
    <phoneticPr fontId="10" type="noConversion"/>
  </si>
  <si>
    <t>VAS6131B mobilel lift plat.control board</t>
  </si>
  <si>
    <t>Su Tong</t>
  </si>
  <si>
    <t>48VPack with straight nozzle_8MA.915.105</t>
  </si>
  <si>
    <t>48VPack with angled nozzle_8B3.915.105.L</t>
  </si>
  <si>
    <t>Fedex Service&amp;Warehousing&amp;imp.VAT&amp;duty</t>
  </si>
  <si>
    <t>DG goods transportation_Changchun-BJ</t>
  </si>
  <si>
    <t>V-labs waxing &amp; furniture cleaning</t>
  </si>
  <si>
    <t>V-labs IT room maintenance</t>
  </si>
  <si>
    <t>V-Labs office supply Feb+Mar</t>
  </si>
  <si>
    <t>additonal SC for DG goods transportation_NEW Contract</t>
  </si>
  <si>
    <t>IT allocation</t>
    <phoneticPr fontId="10" type="noConversion"/>
  </si>
  <si>
    <t>C/EG-V_Warehouse</t>
  </si>
  <si>
    <t>Goverment GPS</t>
  </si>
  <si>
    <t>test vehicle insurance</t>
  </si>
  <si>
    <t>Vehicle test before hand over</t>
  </si>
  <si>
    <t>Tian's Car</t>
  </si>
  <si>
    <t>PPO2025040000511</t>
  </si>
  <si>
    <t>Porsche Advanced Driving Training for R&amp;D 2025.4</t>
  </si>
  <si>
    <t>PPO2025050000011</t>
  </si>
  <si>
    <t>VGIC SPARE PARTS</t>
  </si>
  <si>
    <t>Xin Tianya</t>
  </si>
  <si>
    <t>Equipement Moving from Audi to Shunyi</t>
  </si>
  <si>
    <t>Call-off Test service-7600041849</t>
  </si>
  <si>
    <t>Equipment dismounting &amp; packing &amp; transport</t>
  </si>
  <si>
    <t>DLV2025050000121</t>
  </si>
  <si>
    <t>Garage container for CARIAD vehicle test in Hefei VCTC R&amp;D campus</t>
  </si>
  <si>
    <t>Travel cost for technical support_Part3</t>
  </si>
  <si>
    <t>Dismantle&amp;install exhaust emission equip</t>
  </si>
  <si>
    <t>22KW Air compressor Unit</t>
  </si>
  <si>
    <t>Equipment Assembly and Disassembly</t>
  </si>
  <si>
    <t>Charging station equipment relocation</t>
  </si>
  <si>
    <t>PPO2025050000364</t>
  </si>
  <si>
    <t>Porsche Advanced Driving Training for R&amp;D 2025.5</t>
  </si>
  <si>
    <t>Road test &amp; function test service</t>
  </si>
  <si>
    <t>Battery equipment for emergency powe</t>
  </si>
  <si>
    <t>Slope anti slip board</t>
  </si>
  <si>
    <t>DiagRA F Software License&amp;Training</t>
  </si>
  <si>
    <t>Test driver service until 01.12.2027</t>
  </si>
  <si>
    <t>PPO2025060000303</t>
  </si>
  <si>
    <t>Porsche Advanced Driving Training for R&amp;D 2025.6</t>
  </si>
  <si>
    <t>Equipement Moving from Hefei</t>
  </si>
  <si>
    <t>Business trip Hefei_Jufeng from Teamone</t>
  </si>
  <si>
    <t>PPO2025070000081</t>
  </si>
  <si>
    <t>SPARE PARTS OUTSOURCING Jun</t>
  </si>
  <si>
    <t>GPS for testing vehicle 冬雪</t>
  </si>
  <si>
    <t>test vehicle film</t>
  </si>
  <si>
    <t>change windshield</t>
  </si>
  <si>
    <t>Business Trip Shanghai_Wang Wei_Teamone</t>
  </si>
  <si>
    <t>Exp.Clearance&amp;express&amp;inspection payment</t>
  </si>
  <si>
    <t>truck run empty</t>
  </si>
  <si>
    <t>Parking spaces&amp;charging options</t>
  </si>
  <si>
    <t>Cooling chamber use for car test_10 days</t>
  </si>
  <si>
    <t>PPO2025070000321</t>
  </si>
  <si>
    <t>Porsche Advanced Driving Training for R&amp;D 2025.7</t>
  </si>
  <si>
    <t>Firefighting robot 消防机器人</t>
  </si>
  <si>
    <t>in purchasing process</t>
  </si>
  <si>
    <t>Commercial insurance of test vehicle</t>
  </si>
  <si>
    <t>Suzhou Transportation</t>
  </si>
  <si>
    <t>Shanghai test car maintenance service</t>
  </si>
  <si>
    <t>Su Tong</t>
    <phoneticPr fontId="10" type="noConversion"/>
  </si>
  <si>
    <t>4 x 48V Battery</t>
  </si>
  <si>
    <t>Business Essential in approval</t>
  </si>
  <si>
    <t>PPO2025080000214</t>
  </si>
  <si>
    <t>Porsche Advanced Driving Training for R&amp;D 2025.8</t>
  </si>
  <si>
    <t>PPO2025090000013</t>
  </si>
  <si>
    <t>VGIC SPARE PARTS OUTSOURCING JULY</t>
  </si>
  <si>
    <t>PPO2025090000012</t>
  </si>
  <si>
    <t>VGIC SPARE PARTS OUTSOURCING Aug</t>
  </si>
  <si>
    <t>Su Tong/Zhang, Jufeng</t>
  </si>
  <si>
    <t>E3 1.2 Dashcam purchasing</t>
  </si>
  <si>
    <t>Business Essential approved</t>
  </si>
  <si>
    <t>Software flash and IBN onsite service_SOP related</t>
  </si>
  <si>
    <t>PPC IBRS ECU</t>
  </si>
  <si>
    <t>Q4 etron steering wheel</t>
  </si>
  <si>
    <t>PoC project tires</t>
  </si>
  <si>
    <t>Asset management system</t>
  </si>
  <si>
    <t>warehouse system</t>
  </si>
  <si>
    <t>Software flash and IBN onsite service for Dec. 2025</t>
  </si>
  <si>
    <t>To be created call offed SC after the frame contract is extend</t>
  </si>
  <si>
    <t>YXR</t>
  </si>
  <si>
    <t>Audi vehicle air transport service</t>
  </si>
  <si>
    <t>CTS</t>
  </si>
  <si>
    <t>Additional SC for PO 7300061322</t>
    <phoneticPr fontId="10" type="noConversion"/>
  </si>
  <si>
    <t>To be created SC</t>
    <phoneticPr fontId="10" type="noConversion"/>
  </si>
  <si>
    <t>To be GR for current PO and contract until 31.12.2025</t>
    <phoneticPr fontId="10" type="noConversion"/>
  </si>
  <si>
    <t xml:space="preserve">GR based on current contract and PO </t>
    <phoneticPr fontId="10" type="noConversion"/>
  </si>
  <si>
    <t>Total</t>
    <phoneticPr fontId="10" type="noConversion"/>
  </si>
  <si>
    <t>To be canceled SC</t>
    <phoneticPr fontId="10" type="noConversion"/>
  </si>
  <si>
    <t>The contract will not be used</t>
    <phoneticPr fontId="10" type="noConversion"/>
  </si>
  <si>
    <t>Test car logistic all over China_Zero_old contract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</si>
</sst>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(* #,##0_);_(* \(#,##0\);_(* &quot;-&quot;??_);_(@_)"/>
    <numFmt numFmtId="178" formatCode="#,##0.00_ "/>
  </numFmts>
  <fonts count="1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等线"/>
      <family val="2"/>
      <scheme val="minor"/>
    </font>
    <font>
      <sz val="9"/>
      <color rgb="FF555555"/>
      <name val="VWAGTheSans_Regular"/>
    </font>
    <font>
      <b/>
      <sz val="10"/>
      <color theme="0"/>
      <name val="Arial"/>
      <family val="2"/>
    </font>
    <font>
      <sz val="9"/>
      <name val="等线"/>
      <family val="3"/>
      <charset val="134"/>
      <scheme val="minor"/>
    </font>
    <font>
      <strike/>
      <sz val="11"/>
      <color theme="1"/>
      <name val="等线"/>
      <family val="2"/>
      <scheme val="minor"/>
    </font>
    <font>
      <strike/>
      <sz val="10"/>
      <color theme="1"/>
      <name val="Arial"/>
      <family val="2"/>
    </font>
    <font>
      <strike/>
      <sz val="10"/>
      <name val="Arial"/>
      <family val="2"/>
    </font>
    <font>
      <b/>
      <sz val="11"/>
      <color theme="1"/>
      <name val="等线"/>
      <scheme val="minor"/>
    </font>
    <font>
      <sz val="11"/>
      <color rgb="FF242424"/>
      <name val="Aptos Narrow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/>
      <diagonal/>
    </border>
    <border>
      <left style="medium">
        <color rgb="FFFF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/>
      <diagonal/>
    </border>
    <border>
      <left style="thin">
        <color theme="1"/>
      </left>
      <right style="medium">
        <color rgb="FFFF0000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rgb="FFFF0000"/>
      </left>
      <right style="medium">
        <color theme="1"/>
      </right>
      <top style="thin">
        <color theme="1"/>
      </top>
      <bottom/>
      <diagonal/>
    </border>
    <border>
      <left style="medium">
        <color rgb="FFFF0000"/>
      </left>
      <right style="medium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/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0" fontId="2" fillId="0" borderId="0"/>
    <xf numFmtId="0" fontId="2" fillId="0" borderId="0"/>
  </cellStyleXfs>
  <cellXfs count="133">
    <xf numFmtId="0" fontId="0" fillId="0" borderId="0" xfId="0"/>
    <xf numFmtId="176" fontId="0" fillId="0" borderId="2" xfId="1" applyFont="1" applyFill="1" applyBorder="1" applyAlignment="1">
      <alignment horizontal="right" vertical="top"/>
    </xf>
    <xf numFmtId="176" fontId="0" fillId="0" borderId="2" xfId="1" applyFont="1" applyFill="1" applyBorder="1"/>
    <xf numFmtId="176" fontId="0" fillId="0" borderId="2" xfId="1" applyFont="1" applyFill="1" applyBorder="1" applyAlignment="1">
      <alignment horizontal="center"/>
    </xf>
    <xf numFmtId="176" fontId="0" fillId="5" borderId="2" xfId="1" applyFont="1" applyFill="1" applyBorder="1" applyAlignment="1">
      <alignment horizontal="right" vertical="top"/>
    </xf>
    <xf numFmtId="176" fontId="0" fillId="5" borderId="2" xfId="1" applyFont="1" applyFill="1" applyBorder="1"/>
    <xf numFmtId="176" fontId="0" fillId="5" borderId="2" xfId="1" applyFont="1" applyFill="1" applyBorder="1" applyAlignment="1">
      <alignment horizontal="center"/>
    </xf>
    <xf numFmtId="177" fontId="5" fillId="0" borderId="2" xfId="2" applyNumberFormat="1" applyFont="1" applyBorder="1"/>
    <xf numFmtId="176" fontId="0" fillId="0" borderId="2" xfId="1" applyFont="1" applyBorder="1"/>
    <xf numFmtId="176" fontId="0" fillId="0" borderId="2" xfId="1" applyFont="1" applyBorder="1" applyAlignment="1">
      <alignment horizontal="center"/>
    </xf>
    <xf numFmtId="0" fontId="2" fillId="0" borderId="2" xfId="2" applyBorder="1"/>
    <xf numFmtId="176" fontId="0" fillId="0" borderId="2" xfId="1" applyFont="1" applyBorder="1" applyAlignment="1">
      <alignment horizontal="right" vertical="top"/>
    </xf>
    <xf numFmtId="176" fontId="2" fillId="0" borderId="2" xfId="1" applyFont="1" applyBorder="1"/>
    <xf numFmtId="4" fontId="6" fillId="7" borderId="2" xfId="0" applyNumberFormat="1" applyFont="1" applyFill="1" applyBorder="1"/>
    <xf numFmtId="0" fontId="3" fillId="2" borderId="3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vertical="center" wrapText="1"/>
    </xf>
    <xf numFmtId="0" fontId="3" fillId="2" borderId="4" xfId="2" applyFont="1" applyFill="1" applyBorder="1" applyAlignment="1">
      <alignment horizontal="center" vertical="center" wrapText="1"/>
    </xf>
    <xf numFmtId="176" fontId="3" fillId="2" borderId="4" xfId="1" applyFont="1" applyFill="1" applyBorder="1" applyAlignment="1">
      <alignment horizontal="center" vertical="center" wrapText="1"/>
    </xf>
    <xf numFmtId="176" fontId="4" fillId="4" borderId="4" xfId="1" applyFont="1" applyFill="1" applyBorder="1" applyAlignment="1">
      <alignment horizontal="center" vertical="center" wrapText="1"/>
    </xf>
    <xf numFmtId="176" fontId="0" fillId="0" borderId="7" xfId="1" applyFont="1" applyFill="1" applyBorder="1" applyAlignment="1">
      <alignment horizontal="center"/>
    </xf>
    <xf numFmtId="176" fontId="0" fillId="5" borderId="7" xfId="1" applyFont="1" applyFill="1" applyBorder="1" applyAlignment="1">
      <alignment horizontal="center"/>
    </xf>
    <xf numFmtId="176" fontId="0" fillId="0" borderId="7" xfId="1" applyFont="1" applyBorder="1" applyAlignment="1">
      <alignment horizontal="center"/>
    </xf>
    <xf numFmtId="0" fontId="2" fillId="0" borderId="7" xfId="2" applyBorder="1"/>
    <xf numFmtId="176" fontId="4" fillId="4" borderId="8" xfId="1" applyFont="1" applyFill="1" applyBorder="1" applyAlignment="1">
      <alignment horizontal="center" vertical="center" wrapText="1"/>
    </xf>
    <xf numFmtId="176" fontId="0" fillId="6" borderId="7" xfId="1" applyFont="1" applyFill="1" applyBorder="1" applyAlignment="1">
      <alignment horizontal="center"/>
    </xf>
    <xf numFmtId="176" fontId="4" fillId="9" borderId="9" xfId="1" applyFont="1" applyFill="1" applyBorder="1" applyAlignment="1">
      <alignment horizontal="center" vertical="center" wrapText="1"/>
    </xf>
    <xf numFmtId="176" fontId="0" fillId="0" borderId="10" xfId="0" applyNumberFormat="1" applyBorder="1"/>
    <xf numFmtId="176" fontId="0" fillId="0" borderId="11" xfId="0" applyNumberFormat="1" applyBorder="1"/>
    <xf numFmtId="176" fontId="9" fillId="6" borderId="12" xfId="1" applyFont="1" applyFill="1" applyBorder="1" applyAlignment="1">
      <alignment horizontal="center" vertical="center" wrapText="1"/>
    </xf>
    <xf numFmtId="176" fontId="9" fillId="6" borderId="13" xfId="1" applyFont="1" applyFill="1" applyBorder="1" applyAlignment="1">
      <alignment horizontal="center" vertical="center" wrapText="1"/>
    </xf>
    <xf numFmtId="176" fontId="0" fillId="0" borderId="14" xfId="1" applyFont="1" applyFill="1" applyBorder="1" applyAlignment="1">
      <alignment horizontal="center"/>
    </xf>
    <xf numFmtId="176" fontId="0" fillId="0" borderId="15" xfId="1" applyFont="1" applyFill="1" applyBorder="1" applyAlignment="1">
      <alignment horizontal="center"/>
    </xf>
    <xf numFmtId="176" fontId="0" fillId="5" borderId="14" xfId="1" applyFont="1" applyFill="1" applyBorder="1" applyAlignment="1">
      <alignment horizontal="center"/>
    </xf>
    <xf numFmtId="176" fontId="0" fillId="5" borderId="15" xfId="1" applyFont="1" applyFill="1" applyBorder="1" applyAlignment="1">
      <alignment horizontal="center"/>
    </xf>
    <xf numFmtId="177" fontId="5" fillId="0" borderId="14" xfId="2" applyNumberFormat="1" applyFont="1" applyBorder="1"/>
    <xf numFmtId="176" fontId="0" fillId="0" borderId="14" xfId="1" applyFont="1" applyBorder="1" applyAlignment="1">
      <alignment horizontal="center"/>
    </xf>
    <xf numFmtId="176" fontId="0" fillId="0" borderId="15" xfId="1" applyFont="1" applyBorder="1" applyAlignment="1">
      <alignment horizontal="center"/>
    </xf>
    <xf numFmtId="0" fontId="2" fillId="0" borderId="14" xfId="2" applyBorder="1" applyAlignment="1">
      <alignment horizontal="right"/>
    </xf>
    <xf numFmtId="0" fontId="2" fillId="0" borderId="15" xfId="2" applyBorder="1"/>
    <xf numFmtId="0" fontId="6" fillId="0" borderId="2" xfId="0" applyFont="1" applyFill="1" applyBorder="1"/>
    <xf numFmtId="4" fontId="6" fillId="0" borderId="14" xfId="0" applyNumberFormat="1" applyFont="1" applyFill="1" applyBorder="1"/>
    <xf numFmtId="0" fontId="0" fillId="0" borderId="0" xfId="0" applyFill="1"/>
    <xf numFmtId="0" fontId="5" fillId="0" borderId="2" xfId="2" applyFont="1" applyFill="1" applyBorder="1"/>
    <xf numFmtId="0" fontId="0" fillId="0" borderId="5" xfId="0" applyFill="1" applyBorder="1" applyAlignment="1">
      <alignment horizontal="center" vertical="top"/>
    </xf>
    <xf numFmtId="0" fontId="11" fillId="0" borderId="5" xfId="0" applyFont="1" applyFill="1" applyBorder="1" applyAlignment="1">
      <alignment horizontal="center" vertical="top"/>
    </xf>
    <xf numFmtId="0" fontId="12" fillId="0" borderId="2" xfId="2" applyFont="1" applyFill="1" applyBorder="1"/>
    <xf numFmtId="0" fontId="2" fillId="0" borderId="2" xfId="2" applyFill="1" applyBorder="1"/>
    <xf numFmtId="0" fontId="13" fillId="0" borderId="2" xfId="2" applyFont="1" applyFill="1" applyBorder="1"/>
    <xf numFmtId="0" fontId="13" fillId="0" borderId="2" xfId="2" applyFont="1" applyFill="1" applyBorder="1" applyAlignment="1">
      <alignment horizontal="center"/>
    </xf>
    <xf numFmtId="0" fontId="13" fillId="0" borderId="2" xfId="2" applyFont="1" applyFill="1" applyBorder="1" applyAlignment="1">
      <alignment horizontal="right"/>
    </xf>
    <xf numFmtId="0" fontId="13" fillId="0" borderId="5" xfId="2" applyFont="1" applyFill="1" applyBorder="1" applyAlignment="1">
      <alignment horizontal="center"/>
    </xf>
    <xf numFmtId="0" fontId="2" fillId="0" borderId="5" xfId="2" applyFill="1" applyBorder="1" applyAlignment="1">
      <alignment horizontal="center"/>
    </xf>
    <xf numFmtId="0" fontId="2" fillId="0" borderId="5" xfId="2" applyFont="1" applyFill="1" applyBorder="1" applyAlignment="1">
      <alignment horizontal="center"/>
    </xf>
    <xf numFmtId="0" fontId="2" fillId="0" borderId="2" xfId="2" applyFont="1" applyFill="1" applyBorder="1"/>
    <xf numFmtId="0" fontId="0" fillId="0" borderId="2" xfId="0" applyFill="1" applyBorder="1" applyAlignment="1">
      <alignment vertical="top"/>
    </xf>
    <xf numFmtId="0" fontId="5" fillId="0" borderId="5" xfId="2" applyFont="1" applyFill="1" applyBorder="1" applyAlignment="1">
      <alignment horizontal="center"/>
    </xf>
    <xf numFmtId="176" fontId="2" fillId="0" borderId="2" xfId="1" applyFont="1" applyFill="1" applyBorder="1"/>
    <xf numFmtId="0" fontId="2" fillId="0" borderId="2" xfId="3" applyFill="1" applyBorder="1"/>
    <xf numFmtId="0" fontId="7" fillId="0" borderId="2" xfId="0" applyFont="1" applyFill="1" applyBorder="1"/>
    <xf numFmtId="0" fontId="2" fillId="0" borderId="2" xfId="2" applyFill="1" applyBorder="1" applyAlignment="1">
      <alignment horizontal="center"/>
    </xf>
    <xf numFmtId="0" fontId="8" fillId="0" borderId="2" xfId="0" applyFont="1" applyFill="1" applyBorder="1"/>
    <xf numFmtId="0" fontId="14" fillId="10" borderId="0" xfId="0" applyFont="1" applyFill="1"/>
    <xf numFmtId="176" fontId="0" fillId="8" borderId="14" xfId="1" applyFont="1" applyFill="1" applyBorder="1" applyAlignment="1">
      <alignment horizontal="center"/>
    </xf>
    <xf numFmtId="4" fontId="6" fillId="8" borderId="14" xfId="0" applyNumberFormat="1" applyFont="1" applyFill="1" applyBorder="1"/>
    <xf numFmtId="176" fontId="4" fillId="9" borderId="19" xfId="1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2" xfId="0" applyFont="1" applyFill="1" applyBorder="1" applyAlignment="1">
      <alignment horizontal="left" vertical="center"/>
    </xf>
    <xf numFmtId="176" fontId="5" fillId="0" borderId="2" xfId="1" applyFont="1" applyBorder="1" applyAlignment="1">
      <alignment horizontal="center" vertical="center"/>
    </xf>
    <xf numFmtId="0" fontId="0" fillId="11" borderId="0" xfId="0" applyFill="1"/>
    <xf numFmtId="0" fontId="2" fillId="11" borderId="5" xfId="2" applyFill="1" applyBorder="1" applyAlignment="1">
      <alignment horizontal="center"/>
    </xf>
    <xf numFmtId="0" fontId="2" fillId="11" borderId="2" xfId="2" applyFill="1" applyBorder="1"/>
    <xf numFmtId="0" fontId="5" fillId="11" borderId="2" xfId="0" applyFont="1" applyFill="1" applyBorder="1" applyAlignment="1">
      <alignment horizontal="left" vertical="center"/>
    </xf>
    <xf numFmtId="176" fontId="5" fillId="11" borderId="2" xfId="1" applyFont="1" applyFill="1" applyBorder="1" applyAlignment="1">
      <alignment horizontal="center" vertical="center"/>
    </xf>
    <xf numFmtId="176" fontId="0" fillId="11" borderId="2" xfId="1" applyFont="1" applyFill="1" applyBorder="1"/>
    <xf numFmtId="176" fontId="0" fillId="11" borderId="2" xfId="1" applyFont="1" applyFill="1" applyBorder="1" applyAlignment="1">
      <alignment horizontal="center"/>
    </xf>
    <xf numFmtId="176" fontId="0" fillId="11" borderId="7" xfId="1" applyFont="1" applyFill="1" applyBorder="1" applyAlignment="1">
      <alignment horizontal="center"/>
    </xf>
    <xf numFmtId="176" fontId="0" fillId="11" borderId="16" xfId="1" applyFont="1" applyFill="1" applyBorder="1" applyAlignment="1">
      <alignment horizontal="center"/>
    </xf>
    <xf numFmtId="176" fontId="0" fillId="11" borderId="23" xfId="1" applyFont="1" applyFill="1" applyBorder="1" applyAlignment="1">
      <alignment horizontal="center"/>
    </xf>
    <xf numFmtId="176" fontId="0" fillId="11" borderId="11" xfId="0" applyNumberFormat="1" applyFill="1" applyBorder="1"/>
    <xf numFmtId="0" fontId="0" fillId="11" borderId="21" xfId="0" applyFill="1" applyBorder="1"/>
    <xf numFmtId="0" fontId="15" fillId="0" borderId="29" xfId="0" applyFont="1" applyBorder="1"/>
    <xf numFmtId="176" fontId="0" fillId="0" borderId="30" xfId="1" applyFont="1" applyBorder="1" applyAlignment="1">
      <alignment horizontal="center"/>
    </xf>
    <xf numFmtId="176" fontId="0" fillId="5" borderId="24" xfId="1" applyFont="1" applyFill="1" applyBorder="1" applyAlignment="1">
      <alignment horizontal="center"/>
    </xf>
    <xf numFmtId="0" fontId="2" fillId="4" borderId="2" xfId="2" applyFill="1" applyBorder="1"/>
    <xf numFmtId="0" fontId="0" fillId="4" borderId="2" xfId="0" applyFill="1" applyBorder="1" applyAlignment="1">
      <alignment vertical="top"/>
    </xf>
    <xf numFmtId="176" fontId="7" fillId="12" borderId="14" xfId="1" applyFont="1" applyFill="1" applyBorder="1" applyAlignment="1">
      <alignment horizontal="center"/>
    </xf>
    <xf numFmtId="0" fontId="16" fillId="0" borderId="2" xfId="2" applyFont="1" applyFill="1" applyBorder="1"/>
    <xf numFmtId="4" fontId="17" fillId="0" borderId="33" xfId="0" applyNumberFormat="1" applyFont="1" applyBorder="1"/>
    <xf numFmtId="0" fontId="2" fillId="11" borderId="18" xfId="2" applyFill="1" applyBorder="1"/>
    <xf numFmtId="0" fontId="5" fillId="11" borderId="18" xfId="0" applyFont="1" applyFill="1" applyBorder="1" applyAlignment="1">
      <alignment horizontal="left" vertical="center"/>
    </xf>
    <xf numFmtId="176" fontId="0" fillId="11" borderId="29" xfId="1" applyFont="1" applyFill="1" applyBorder="1" applyAlignment="1">
      <alignment horizontal="center"/>
    </xf>
    <xf numFmtId="176" fontId="5" fillId="11" borderId="18" xfId="1" applyFont="1" applyFill="1" applyBorder="1" applyAlignment="1">
      <alignment horizontal="center" vertical="center"/>
    </xf>
    <xf numFmtId="176" fontId="0" fillId="11" borderId="18" xfId="1" applyFont="1" applyFill="1" applyBorder="1" applyAlignment="1">
      <alignment horizontal="center"/>
    </xf>
    <xf numFmtId="176" fontId="0" fillId="0" borderId="23" xfId="1" applyFont="1" applyBorder="1" applyAlignment="1">
      <alignment horizontal="center"/>
    </xf>
    <xf numFmtId="176" fontId="0" fillId="0" borderId="16" xfId="1" applyFont="1" applyBorder="1" applyAlignment="1">
      <alignment horizontal="center"/>
    </xf>
    <xf numFmtId="176" fontId="0" fillId="0" borderId="23" xfId="1" applyFont="1" applyBorder="1" applyAlignment="1">
      <alignment horizontal="center"/>
    </xf>
    <xf numFmtId="176" fontId="0" fillId="0" borderId="24" xfId="1" applyFont="1" applyBorder="1" applyAlignment="1">
      <alignment horizontal="center"/>
    </xf>
    <xf numFmtId="0" fontId="15" fillId="0" borderId="34" xfId="0" applyFont="1" applyBorder="1"/>
    <xf numFmtId="0" fontId="2" fillId="11" borderId="1" xfId="2" applyFill="1" applyBorder="1"/>
    <xf numFmtId="0" fontId="5" fillId="11" borderId="1" xfId="0" applyFont="1" applyFill="1" applyBorder="1" applyAlignment="1">
      <alignment horizontal="left" vertical="center"/>
    </xf>
    <xf numFmtId="176" fontId="5" fillId="11" borderId="1" xfId="1" applyFont="1" applyFill="1" applyBorder="1" applyAlignment="1">
      <alignment horizontal="center" vertical="center"/>
    </xf>
    <xf numFmtId="176" fontId="0" fillId="11" borderId="1" xfId="1" applyFont="1" applyFill="1" applyBorder="1"/>
    <xf numFmtId="176" fontId="0" fillId="11" borderId="31" xfId="1" applyFont="1" applyFill="1" applyBorder="1" applyAlignment="1">
      <alignment horizontal="center"/>
    </xf>
    <xf numFmtId="176" fontId="0" fillId="11" borderId="32" xfId="1" applyFont="1" applyFill="1" applyBorder="1" applyAlignment="1">
      <alignment horizontal="center"/>
    </xf>
    <xf numFmtId="0" fontId="0" fillId="0" borderId="18" xfId="0" applyFill="1" applyBorder="1" applyAlignment="1">
      <alignment horizontal="left" vertical="center"/>
    </xf>
    <xf numFmtId="176" fontId="0" fillId="0" borderId="2" xfId="1" applyFont="1" applyFill="1" applyBorder="1" applyAlignment="1">
      <alignment horizontal="center" vertical="center"/>
    </xf>
    <xf numFmtId="176" fontId="0" fillId="11" borderId="35" xfId="1" applyFont="1" applyFill="1" applyBorder="1" applyAlignment="1">
      <alignment horizontal="center"/>
    </xf>
    <xf numFmtId="176" fontId="0" fillId="11" borderId="36" xfId="1" applyFont="1" applyFill="1" applyBorder="1" applyAlignment="1">
      <alignment horizontal="center"/>
    </xf>
    <xf numFmtId="176" fontId="0" fillId="11" borderId="37" xfId="0" applyNumberFormat="1" applyFill="1" applyBorder="1"/>
    <xf numFmtId="176" fontId="0" fillId="11" borderId="40" xfId="0" applyNumberFormat="1" applyFill="1" applyBorder="1"/>
    <xf numFmtId="176" fontId="0" fillId="11" borderId="33" xfId="1" applyFont="1" applyFill="1" applyBorder="1" applyAlignment="1">
      <alignment horizontal="center"/>
    </xf>
    <xf numFmtId="176" fontId="0" fillId="11" borderId="41" xfId="1" applyFont="1" applyFill="1" applyBorder="1" applyAlignment="1">
      <alignment horizontal="center"/>
    </xf>
    <xf numFmtId="0" fontId="14" fillId="0" borderId="0" xfId="0" applyFont="1" applyFill="1" applyBorder="1"/>
    <xf numFmtId="178" fontId="14" fillId="0" borderId="0" xfId="0" applyNumberFormat="1" applyFont="1"/>
    <xf numFmtId="0" fontId="0" fillId="11" borderId="6" xfId="0" applyFill="1" applyBorder="1"/>
    <xf numFmtId="176" fontId="0" fillId="0" borderId="23" xfId="1" applyFont="1" applyBorder="1" applyAlignment="1">
      <alignment horizontal="center"/>
    </xf>
    <xf numFmtId="176" fontId="0" fillId="0" borderId="24" xfId="1" applyFont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176" fontId="0" fillId="0" borderId="27" xfId="0" applyNumberFormat="1" applyBorder="1" applyAlignment="1">
      <alignment horizontal="center"/>
    </xf>
    <xf numFmtId="176" fontId="0" fillId="0" borderId="28" xfId="0" applyNumberFormat="1" applyBorder="1" applyAlignment="1">
      <alignment horizontal="center"/>
    </xf>
    <xf numFmtId="176" fontId="0" fillId="0" borderId="2" xfId="1" applyFont="1" applyBorder="1" applyAlignment="1">
      <alignment horizontal="center" vertical="center"/>
    </xf>
    <xf numFmtId="176" fontId="0" fillId="0" borderId="16" xfId="1" applyFont="1" applyBorder="1" applyAlignment="1">
      <alignment horizontal="center"/>
    </xf>
    <xf numFmtId="176" fontId="0" fillId="0" borderId="17" xfId="1" applyFont="1" applyBorder="1" applyAlignment="1">
      <alignment horizontal="center"/>
    </xf>
    <xf numFmtId="176" fontId="0" fillId="11" borderId="38" xfId="1" applyFont="1" applyFill="1" applyBorder="1" applyAlignment="1">
      <alignment horizontal="center"/>
    </xf>
    <xf numFmtId="176" fontId="0" fillId="11" borderId="39" xfId="1" applyFont="1" applyFill="1" applyBorder="1" applyAlignment="1">
      <alignment horizontal="center"/>
    </xf>
    <xf numFmtId="0" fontId="2" fillId="0" borderId="18" xfId="2" applyFill="1" applyBorder="1"/>
    <xf numFmtId="0" fontId="5" fillId="0" borderId="18" xfId="0" applyFont="1" applyFill="1" applyBorder="1" applyAlignment="1">
      <alignment horizontal="left" vertical="center"/>
    </xf>
    <xf numFmtId="176" fontId="5" fillId="0" borderId="18" xfId="1" applyFont="1" applyFill="1" applyBorder="1" applyAlignment="1">
      <alignment horizontal="center" vertical="center"/>
    </xf>
    <xf numFmtId="176" fontId="0" fillId="0" borderId="11" xfId="0" applyNumberFormat="1" applyFill="1" applyBorder="1"/>
    <xf numFmtId="0" fontId="0" fillId="0" borderId="25" xfId="0" applyFill="1" applyBorder="1"/>
  </cellXfs>
  <cellStyles count="4">
    <cellStyle name="Normal 3" xfId="3" xr:uid="{90AB9E2B-A02E-4191-9389-732AEB42BC80}"/>
    <cellStyle name="Normal 4" xfId="2" xr:uid="{DC9F0FE6-CCBE-4921-9A52-5DB849719164}"/>
    <cellStyle name="常规" xfId="0" builtinId="0"/>
    <cellStyle name="千位分隔" xfId="1" builtinId="3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4F7174E-FBD3-4A03-90BB-46D6BC58A552}">
    <nsvFilter filterId="{94C15921-0FD0-41E3-8C8D-7738588D0CF0}" ref="A1:K195" tableId="0">
      <columnFilter colId="0">
        <filter colId="0">
          <x:filters>
            <x:filter val="Sheng Zhengxian"/>
          </x:filters>
        </filter>
      </columnFilter>
    </nsvFilter>
  </namedSheetView>
  <namedSheetView name="View2" id="{5184C45D-E9C1-4067-A7F2-5E87A6CFE385}">
    <nsvFilter filterId="{94C15921-0FD0-41E3-8C8D-7738588D0CF0}" ref="A1:K195" tableId="0">
      <columnFilter colId="0">
        <filter colId="0">
          <x:filters>
            <x:filter val="SJL"/>
          </x:filters>
        </filter>
      </columnFilter>
    </nsvFilter>
  </namedSheetView>
  <namedSheetView name="View3" id="{20733ED0-177E-434C-A2BD-C56B80C5A5AF}">
    <nsvFilter filterId="{94C15921-0FD0-41E3-8C8D-7738588D0CF0}" ref="A1:K195" tableId="0">
      <columnFilter colId="0">
        <filter colId="0">
          <x:filters>
            <x:filter val="WYN"/>
          </x:filters>
        </filter>
      </columnFilter>
    </nsvFilter>
  </namedSheetView>
  <namedSheetView name="View4" id="{6DF633B8-87C0-4F8B-B695-E9E69E47AB9B}">
    <nsvFilter filterId="{94C15921-0FD0-41E3-8C8D-7738588D0CF0}" ref="A1:K195" tableId="0">
      <columnFilter colId="0">
        <filter colId="0">
          <x:filters>
            <x:filter val="YXR"/>
          </x:filters>
        </filter>
      </columnFilter>
    </nsvFilter>
  </namedSheetView>
  <namedSheetView name="View5" id="{88D379D4-1DB9-44A4-8D20-61CD30FC892C}">
    <nsvFilter filterId="{94C15921-0FD0-41E3-8C8D-7738588D0CF0}" ref="A1:K195" tableId="0">
      <columnFilter colId="0">
        <filter colId="0">
          <x:filters>
            <x:filter val="WYN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5921-0FD0-41E3-8C8D-7738588D0CF0}">
  <dimension ref="A1:L196"/>
  <sheetViews>
    <sheetView tabSelected="1" topLeftCell="E1" zoomScale="86" zoomScaleNormal="86" workbookViewId="0">
      <pane ySplit="1" topLeftCell="A174" activePane="bottomLeft" state="frozen"/>
      <selection pane="bottomLeft" activeCell="I187" sqref="I187"/>
    </sheetView>
  </sheetViews>
  <sheetFormatPr defaultRowHeight="14"/>
  <cols>
    <col min="1" max="1" width="11.5" customWidth="1"/>
    <col min="2" max="2" width="17.33203125" bestFit="1" customWidth="1"/>
    <col min="3" max="3" width="17.83203125" bestFit="1" customWidth="1"/>
    <col min="4" max="4" width="58.75" bestFit="1" customWidth="1"/>
    <col min="5" max="6" width="13.83203125" bestFit="1" customWidth="1"/>
    <col min="7" max="7" width="15.33203125" customWidth="1"/>
    <col min="8" max="8" width="14.58203125" customWidth="1"/>
    <col min="9" max="9" width="15.08203125" customWidth="1"/>
    <col min="10" max="10" width="16.08203125" customWidth="1"/>
    <col min="11" max="11" width="13.5" customWidth="1"/>
    <col min="12" max="12" width="49.25" customWidth="1"/>
  </cols>
  <sheetData>
    <row r="1" spans="1:12" ht="14.5" thickBot="1">
      <c r="A1" s="61" t="s">
        <v>0</v>
      </c>
      <c r="B1" s="14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8" t="s">
        <v>6</v>
      </c>
      <c r="H1" s="23" t="s">
        <v>7</v>
      </c>
      <c r="I1" s="28" t="s">
        <v>8</v>
      </c>
      <c r="J1" s="29" t="s">
        <v>9</v>
      </c>
      <c r="K1" s="25" t="s">
        <v>10</v>
      </c>
      <c r="L1" s="64" t="s">
        <v>11</v>
      </c>
    </row>
    <row r="2" spans="1:12">
      <c r="A2" t="s">
        <v>12</v>
      </c>
      <c r="B2" s="43">
        <v>1010986816</v>
      </c>
      <c r="C2" s="42">
        <v>7300050766</v>
      </c>
      <c r="D2" s="54" t="s">
        <v>13</v>
      </c>
      <c r="E2" s="1">
        <v>151498.72</v>
      </c>
      <c r="F2" s="2">
        <v>151498.72</v>
      </c>
      <c r="G2" s="3">
        <v>139872</v>
      </c>
      <c r="H2" s="19"/>
      <c r="I2" s="30"/>
      <c r="J2" s="36">
        <v>0</v>
      </c>
      <c r="K2" s="26">
        <f>I2+J2-H2</f>
        <v>0</v>
      </c>
      <c r="L2" s="65"/>
    </row>
    <row r="3" spans="1:12" ht="14.5">
      <c r="A3" t="s">
        <v>12</v>
      </c>
      <c r="B3" s="43">
        <v>1010986954</v>
      </c>
      <c r="C3" s="42">
        <v>7300050770</v>
      </c>
      <c r="D3" s="54" t="s">
        <v>14</v>
      </c>
      <c r="E3" s="1">
        <v>1355475</v>
      </c>
      <c r="F3" s="2">
        <v>1149547.6299999999</v>
      </c>
      <c r="G3" s="3">
        <v>351116</v>
      </c>
      <c r="H3" s="19">
        <v>278000</v>
      </c>
      <c r="I3" s="62">
        <v>321276.87999999995</v>
      </c>
      <c r="J3" s="89">
        <v>278000</v>
      </c>
      <c r="K3" s="27">
        <f t="shared" ref="K3:K66" si="0">I3+J3-H3</f>
        <v>321276.87999999989</v>
      </c>
      <c r="L3" s="66"/>
    </row>
    <row r="4" spans="1:12">
      <c r="A4" t="s">
        <v>12</v>
      </c>
      <c r="B4" s="43">
        <v>1010987037</v>
      </c>
      <c r="C4" s="42">
        <v>7300052101</v>
      </c>
      <c r="D4" s="54" t="s">
        <v>15</v>
      </c>
      <c r="E4" s="1">
        <v>931140</v>
      </c>
      <c r="F4" s="2">
        <v>931140</v>
      </c>
      <c r="G4" s="3"/>
      <c r="H4" s="19"/>
      <c r="I4" s="30"/>
      <c r="J4" s="36">
        <v>0</v>
      </c>
      <c r="K4" s="27">
        <f t="shared" si="0"/>
        <v>0</v>
      </c>
      <c r="L4" s="66"/>
    </row>
    <row r="5" spans="1:12">
      <c r="A5" t="s">
        <v>16</v>
      </c>
      <c r="B5" s="43">
        <v>1010998408</v>
      </c>
      <c r="C5" s="42">
        <v>7300050333</v>
      </c>
      <c r="D5" s="54" t="s">
        <v>17</v>
      </c>
      <c r="E5" s="1">
        <v>10036710</v>
      </c>
      <c r="F5" s="2">
        <v>3800822.84</v>
      </c>
      <c r="G5" s="3">
        <v>2195740.6800000002</v>
      </c>
      <c r="H5" s="19"/>
      <c r="I5" s="62">
        <v>695550.55999999994</v>
      </c>
      <c r="J5" s="36">
        <v>100000</v>
      </c>
      <c r="K5" s="27">
        <f t="shared" si="0"/>
        <v>795550.55999999994</v>
      </c>
      <c r="L5" s="66" t="s">
        <v>18</v>
      </c>
    </row>
    <row r="6" spans="1:12">
      <c r="A6" t="s">
        <v>19</v>
      </c>
      <c r="B6" s="43">
        <v>1010998497</v>
      </c>
      <c r="C6" s="42">
        <v>7300050773</v>
      </c>
      <c r="D6" s="54" t="s">
        <v>20</v>
      </c>
      <c r="E6" s="4">
        <v>354960</v>
      </c>
      <c r="F6" s="5">
        <v>354960</v>
      </c>
      <c r="G6" s="6">
        <v>100430</v>
      </c>
      <c r="H6" s="20"/>
      <c r="I6" s="32"/>
      <c r="J6" s="33"/>
      <c r="K6" s="27">
        <f t="shared" si="0"/>
        <v>0</v>
      </c>
      <c r="L6" s="66"/>
    </row>
    <row r="7" spans="1:12">
      <c r="A7" t="s">
        <v>19</v>
      </c>
      <c r="B7" s="43">
        <v>1010998561</v>
      </c>
      <c r="C7" s="42">
        <v>7300050774</v>
      </c>
      <c r="D7" s="54" t="s">
        <v>21</v>
      </c>
      <c r="E7" s="1">
        <v>937109.9</v>
      </c>
      <c r="F7" s="2">
        <v>864556.3</v>
      </c>
      <c r="G7" s="3">
        <v>378183.94</v>
      </c>
      <c r="H7" s="19"/>
      <c r="I7" s="30">
        <v>54467.05</v>
      </c>
      <c r="J7" s="36"/>
      <c r="K7" s="27">
        <f t="shared" si="0"/>
        <v>54467.05</v>
      </c>
      <c r="L7" s="66"/>
    </row>
    <row r="8" spans="1:12">
      <c r="A8" t="s">
        <v>19</v>
      </c>
      <c r="B8" s="43">
        <v>1010998615</v>
      </c>
      <c r="C8" s="42">
        <v>7300050775</v>
      </c>
      <c r="D8" s="54" t="s">
        <v>22</v>
      </c>
      <c r="E8" s="1">
        <v>1010396.25</v>
      </c>
      <c r="F8" s="2">
        <v>424511.01</v>
      </c>
      <c r="G8" s="3">
        <v>275841.05</v>
      </c>
      <c r="H8" s="19"/>
      <c r="I8" s="30">
        <v>25268.51</v>
      </c>
      <c r="J8" s="36"/>
      <c r="K8" s="27">
        <f t="shared" si="0"/>
        <v>25268.51</v>
      </c>
      <c r="L8" s="66"/>
    </row>
    <row r="9" spans="1:12">
      <c r="A9" t="s">
        <v>19</v>
      </c>
      <c r="B9" s="43">
        <v>1010998941</v>
      </c>
      <c r="C9" s="42">
        <v>7300050815</v>
      </c>
      <c r="D9" s="54" t="s">
        <v>23</v>
      </c>
      <c r="E9" s="1">
        <v>131947.16</v>
      </c>
      <c r="F9" s="2">
        <v>131947.16</v>
      </c>
      <c r="G9" s="7">
        <v>54019.58</v>
      </c>
      <c r="H9" s="19"/>
      <c r="I9" s="34"/>
      <c r="J9" s="36"/>
      <c r="K9" s="27">
        <f t="shared" si="0"/>
        <v>0</v>
      </c>
      <c r="L9" s="66"/>
    </row>
    <row r="10" spans="1:12">
      <c r="A10" t="s">
        <v>24</v>
      </c>
      <c r="B10" s="55">
        <v>1011009040</v>
      </c>
      <c r="C10" s="42">
        <v>7300051801</v>
      </c>
      <c r="D10" s="42" t="s">
        <v>25</v>
      </c>
      <c r="E10" s="8">
        <v>1652699</v>
      </c>
      <c r="F10" s="8">
        <v>1358115.64</v>
      </c>
      <c r="G10" s="9">
        <v>818465.5</v>
      </c>
      <c r="H10" s="21">
        <v>198360</v>
      </c>
      <c r="I10" s="35">
        <v>488921.63</v>
      </c>
      <c r="J10" s="36">
        <v>0</v>
      </c>
      <c r="K10" s="27">
        <f t="shared" si="0"/>
        <v>290561.63</v>
      </c>
      <c r="L10" s="66"/>
    </row>
    <row r="11" spans="1:12">
      <c r="A11" t="s">
        <v>24</v>
      </c>
      <c r="B11" s="51">
        <v>1010966046</v>
      </c>
      <c r="C11" s="46">
        <v>7300050951</v>
      </c>
      <c r="D11" s="46" t="s">
        <v>26</v>
      </c>
      <c r="E11" s="8">
        <v>13560165</v>
      </c>
      <c r="F11" s="8">
        <v>13560165</v>
      </c>
      <c r="G11" s="9">
        <v>3387261.35</v>
      </c>
      <c r="H11" s="21">
        <v>960883.13</v>
      </c>
      <c r="I11" s="35">
        <v>2440829.71</v>
      </c>
      <c r="J11" s="36">
        <v>1800000</v>
      </c>
      <c r="K11" s="27">
        <f t="shared" si="0"/>
        <v>3279946.58</v>
      </c>
      <c r="L11" s="66"/>
    </row>
    <row r="12" spans="1:12">
      <c r="A12" t="s">
        <v>12</v>
      </c>
      <c r="B12" s="43">
        <v>1011395381</v>
      </c>
      <c r="C12" s="46">
        <v>7300055056</v>
      </c>
      <c r="D12" s="54" t="s">
        <v>27</v>
      </c>
      <c r="E12" s="8">
        <v>305100</v>
      </c>
      <c r="F12" s="8">
        <v>299120.03999999998</v>
      </c>
      <c r="G12" s="9"/>
      <c r="H12" s="21">
        <v>264708</v>
      </c>
      <c r="I12" s="35">
        <v>299120.03999999998</v>
      </c>
      <c r="J12" s="36">
        <v>0</v>
      </c>
      <c r="K12" s="27">
        <f t="shared" si="0"/>
        <v>34412.039999999979</v>
      </c>
      <c r="L12" s="66"/>
    </row>
    <row r="13" spans="1:12">
      <c r="A13" t="s">
        <v>12</v>
      </c>
      <c r="B13" s="43">
        <v>1011395381</v>
      </c>
      <c r="C13" s="46">
        <v>7300055056</v>
      </c>
      <c r="D13" s="54" t="s">
        <v>28</v>
      </c>
      <c r="E13" s="11">
        <v>152550</v>
      </c>
      <c r="F13" s="8">
        <v>99706.68</v>
      </c>
      <c r="G13" s="9"/>
      <c r="H13" s="21">
        <v>88236</v>
      </c>
      <c r="I13" s="35">
        <v>99706.68</v>
      </c>
      <c r="J13" s="36">
        <v>0</v>
      </c>
      <c r="K13" s="27">
        <f t="shared" si="0"/>
        <v>11470.679999999993</v>
      </c>
      <c r="L13" s="66"/>
    </row>
    <row r="14" spans="1:12">
      <c r="A14" t="s">
        <v>24</v>
      </c>
      <c r="B14" s="51">
        <v>1011257210</v>
      </c>
      <c r="C14" s="46">
        <v>7300052626</v>
      </c>
      <c r="D14" s="46" t="s">
        <v>29</v>
      </c>
      <c r="E14" s="8">
        <v>53530</v>
      </c>
      <c r="F14" s="8">
        <v>43988.61</v>
      </c>
      <c r="G14" s="9">
        <v>21613.5</v>
      </c>
      <c r="H14" s="21">
        <v>15000</v>
      </c>
      <c r="I14" s="35">
        <v>18827.13</v>
      </c>
      <c r="J14" s="31">
        <v>0</v>
      </c>
      <c r="K14" s="27">
        <f t="shared" si="0"/>
        <v>3827.130000000001</v>
      </c>
      <c r="L14" s="66"/>
    </row>
    <row r="15" spans="1:12">
      <c r="A15" t="s">
        <v>24</v>
      </c>
      <c r="B15" s="51">
        <v>1011257210</v>
      </c>
      <c r="C15" s="46">
        <v>7300052626</v>
      </c>
      <c r="D15" s="46" t="s">
        <v>30</v>
      </c>
      <c r="E15" s="8">
        <v>107060</v>
      </c>
      <c r="F15" s="8">
        <v>87977.22</v>
      </c>
      <c r="G15" s="9"/>
      <c r="H15" s="21"/>
      <c r="I15" s="35">
        <v>46715.9</v>
      </c>
      <c r="J15" s="31">
        <v>40000</v>
      </c>
      <c r="K15" s="27">
        <f t="shared" si="0"/>
        <v>86715.9</v>
      </c>
      <c r="L15" s="66"/>
    </row>
    <row r="16" spans="1:12">
      <c r="A16" t="s">
        <v>24</v>
      </c>
      <c r="B16" s="51">
        <v>1011257210</v>
      </c>
      <c r="C16" s="46">
        <v>7300052626</v>
      </c>
      <c r="D16" s="46" t="s">
        <v>31</v>
      </c>
      <c r="E16" s="8">
        <v>53530</v>
      </c>
      <c r="F16" s="8">
        <v>43988.61</v>
      </c>
      <c r="G16" s="9"/>
      <c r="H16" s="21"/>
      <c r="I16" s="35"/>
      <c r="J16" s="31">
        <v>0</v>
      </c>
      <c r="K16" s="27">
        <f t="shared" si="0"/>
        <v>0</v>
      </c>
      <c r="L16" s="66"/>
    </row>
    <row r="17" spans="1:12">
      <c r="A17" t="s">
        <v>32</v>
      </c>
      <c r="B17" s="43">
        <v>1011340907</v>
      </c>
      <c r="C17" s="46">
        <v>7300053497</v>
      </c>
      <c r="D17" s="54" t="s">
        <v>33</v>
      </c>
      <c r="E17" s="11">
        <v>297600</v>
      </c>
      <c r="F17" s="8">
        <v>297600</v>
      </c>
      <c r="G17" s="9">
        <v>20150</v>
      </c>
      <c r="H17" s="21">
        <v>32550</v>
      </c>
      <c r="I17" s="35">
        <v>27125</v>
      </c>
      <c r="J17" s="31">
        <v>0</v>
      </c>
      <c r="K17" s="27">
        <f t="shared" si="0"/>
        <v>-5425</v>
      </c>
      <c r="L17" s="66"/>
    </row>
    <row r="18" spans="1:12">
      <c r="A18" t="s">
        <v>32</v>
      </c>
      <c r="B18" s="43">
        <v>1011340907</v>
      </c>
      <c r="C18" s="46">
        <v>7300053497</v>
      </c>
      <c r="D18" s="54" t="s">
        <v>34</v>
      </c>
      <c r="E18" s="11">
        <v>775000</v>
      </c>
      <c r="F18" s="8">
        <v>775000</v>
      </c>
      <c r="G18" s="9"/>
      <c r="H18" s="21"/>
      <c r="I18" s="35">
        <v>424700</v>
      </c>
      <c r="J18" s="31">
        <v>269452</v>
      </c>
      <c r="K18" s="27">
        <f t="shared" si="0"/>
        <v>694152</v>
      </c>
      <c r="L18" s="66"/>
    </row>
    <row r="19" spans="1:12">
      <c r="A19" t="s">
        <v>32</v>
      </c>
      <c r="B19" s="43">
        <v>1011340907</v>
      </c>
      <c r="C19" s="46">
        <v>7300053497</v>
      </c>
      <c r="D19" s="54" t="s">
        <v>35</v>
      </c>
      <c r="E19" s="11">
        <v>477400</v>
      </c>
      <c r="F19" s="8">
        <v>477400</v>
      </c>
      <c r="G19" s="9"/>
      <c r="H19" s="21"/>
      <c r="I19" s="35"/>
      <c r="J19" s="31">
        <v>0</v>
      </c>
      <c r="K19" s="27">
        <f t="shared" si="0"/>
        <v>0</v>
      </c>
      <c r="L19" s="66"/>
    </row>
    <row r="20" spans="1:12">
      <c r="A20" t="s">
        <v>24</v>
      </c>
      <c r="B20" s="51">
        <v>1011381813</v>
      </c>
      <c r="C20" s="46">
        <v>7300054360</v>
      </c>
      <c r="D20" s="46" t="s">
        <v>36</v>
      </c>
      <c r="E20" s="8">
        <v>55047</v>
      </c>
      <c r="F20" s="8">
        <v>45234.01</v>
      </c>
      <c r="G20" s="9"/>
      <c r="H20" s="21"/>
      <c r="I20" s="35">
        <v>9925.61</v>
      </c>
      <c r="J20" s="31">
        <v>10000</v>
      </c>
      <c r="K20" s="27">
        <f t="shared" si="0"/>
        <v>19925.61</v>
      </c>
      <c r="L20" s="66"/>
    </row>
    <row r="21" spans="1:12">
      <c r="A21" t="s">
        <v>24</v>
      </c>
      <c r="B21" s="51">
        <v>1011381813</v>
      </c>
      <c r="C21" s="46">
        <v>7300054360</v>
      </c>
      <c r="D21" s="46" t="s">
        <v>36</v>
      </c>
      <c r="E21" s="8">
        <v>94366</v>
      </c>
      <c r="F21" s="8">
        <v>77543.789999999994</v>
      </c>
      <c r="G21" s="9"/>
      <c r="H21" s="21"/>
      <c r="I21" s="35"/>
      <c r="J21" s="31">
        <v>0</v>
      </c>
      <c r="K21" s="27">
        <f t="shared" si="0"/>
        <v>0</v>
      </c>
      <c r="L21" s="66"/>
    </row>
    <row r="22" spans="1:12">
      <c r="A22" t="s">
        <v>24</v>
      </c>
      <c r="B22" s="51">
        <v>1011381813</v>
      </c>
      <c r="C22" s="46">
        <v>7300054360</v>
      </c>
      <c r="D22" s="46" t="s">
        <v>36</v>
      </c>
      <c r="E22" s="8">
        <v>39320.5</v>
      </c>
      <c r="F22" s="8">
        <v>32315.119999999999</v>
      </c>
      <c r="G22" s="9"/>
      <c r="H22" s="21"/>
      <c r="I22" s="35"/>
      <c r="J22" s="31">
        <v>0</v>
      </c>
      <c r="K22" s="27">
        <f t="shared" si="0"/>
        <v>0</v>
      </c>
      <c r="L22" s="66"/>
    </row>
    <row r="23" spans="1:12">
      <c r="A23" t="s">
        <v>16</v>
      </c>
      <c r="B23" s="43">
        <v>1011399325</v>
      </c>
      <c r="C23" s="46">
        <v>7300054365</v>
      </c>
      <c r="D23" s="54" t="s">
        <v>37</v>
      </c>
      <c r="E23" s="11">
        <v>384250</v>
      </c>
      <c r="F23" s="8">
        <v>371678</v>
      </c>
      <c r="G23" s="9">
        <v>194852</v>
      </c>
      <c r="H23" s="21"/>
      <c r="I23" s="35">
        <v>162246.74</v>
      </c>
      <c r="J23" s="31">
        <v>0</v>
      </c>
      <c r="K23" s="27">
        <f t="shared" si="0"/>
        <v>162246.74</v>
      </c>
      <c r="L23" s="66" t="s">
        <v>38</v>
      </c>
    </row>
    <row r="24" spans="1:12">
      <c r="A24" t="s">
        <v>24</v>
      </c>
      <c r="B24" s="43">
        <v>1011218432</v>
      </c>
      <c r="C24" s="42">
        <v>7300052100</v>
      </c>
      <c r="D24" s="54" t="s">
        <v>39</v>
      </c>
      <c r="E24" s="11">
        <v>89803.199999999997</v>
      </c>
      <c r="F24" s="8">
        <v>89803.199999999997</v>
      </c>
      <c r="G24" s="9"/>
      <c r="H24" s="21"/>
      <c r="I24" s="35">
        <v>44901.599999999999</v>
      </c>
      <c r="J24" s="35">
        <v>44901.599999999999</v>
      </c>
      <c r="K24" s="27">
        <f t="shared" si="0"/>
        <v>89803.199999999997</v>
      </c>
      <c r="L24" s="66"/>
    </row>
    <row r="25" spans="1:12">
      <c r="A25" t="s">
        <v>24</v>
      </c>
      <c r="B25" s="43">
        <v>1011218432</v>
      </c>
      <c r="C25" s="42">
        <v>7300052100</v>
      </c>
      <c r="D25" s="54" t="s">
        <v>40</v>
      </c>
      <c r="E25" s="11">
        <v>44901.599999999999</v>
      </c>
      <c r="F25" s="8">
        <v>44901.599999999999</v>
      </c>
      <c r="G25" s="9"/>
      <c r="H25" s="21"/>
      <c r="I25" s="35"/>
      <c r="J25" s="31">
        <v>0</v>
      </c>
      <c r="K25" s="27">
        <f t="shared" si="0"/>
        <v>0</v>
      </c>
      <c r="L25" s="66"/>
    </row>
    <row r="26" spans="1:12">
      <c r="A26" t="s">
        <v>24</v>
      </c>
      <c r="B26" s="43">
        <v>1011395193</v>
      </c>
      <c r="C26" s="46">
        <v>7300053529</v>
      </c>
      <c r="D26" s="54" t="s">
        <v>41</v>
      </c>
      <c r="E26" s="11">
        <v>8316285</v>
      </c>
      <c r="F26" s="8">
        <v>7767387.5</v>
      </c>
      <c r="G26" s="9">
        <v>7385276.5800000001</v>
      </c>
      <c r="H26" s="24">
        <v>1499985</v>
      </c>
      <c r="I26" s="35"/>
      <c r="J26" s="31">
        <v>0</v>
      </c>
      <c r="K26" s="27">
        <f t="shared" si="0"/>
        <v>-1499985</v>
      </c>
      <c r="L26" s="66"/>
    </row>
    <row r="27" spans="1:12">
      <c r="A27" t="s">
        <v>24</v>
      </c>
      <c r="B27" s="43">
        <v>1011395193</v>
      </c>
      <c r="C27" s="46">
        <v>7300053529</v>
      </c>
      <c r="D27" s="54" t="s">
        <v>42</v>
      </c>
      <c r="E27" s="11">
        <v>14256489</v>
      </c>
      <c r="F27" s="8">
        <v>13315521.83</v>
      </c>
      <c r="G27" s="9"/>
      <c r="H27" s="21"/>
      <c r="I27" s="35">
        <v>5285152.54</v>
      </c>
      <c r="J27" s="31">
        <v>8030369</v>
      </c>
      <c r="K27" s="27">
        <f t="shared" si="0"/>
        <v>13315521.539999999</v>
      </c>
      <c r="L27" s="66"/>
    </row>
    <row r="28" spans="1:12">
      <c r="A28" t="s">
        <v>24</v>
      </c>
      <c r="B28" s="43">
        <v>1011395193</v>
      </c>
      <c r="C28" s="46">
        <v>7300053529</v>
      </c>
      <c r="D28" s="54" t="s">
        <v>43</v>
      </c>
      <c r="E28" s="11">
        <v>10692366</v>
      </c>
      <c r="F28" s="8">
        <v>9986640.6699999999</v>
      </c>
      <c r="G28" s="9"/>
      <c r="H28" s="21"/>
      <c r="I28" s="35"/>
      <c r="J28" s="31">
        <v>3800000</v>
      </c>
      <c r="K28" s="27">
        <f t="shared" si="0"/>
        <v>3800000</v>
      </c>
      <c r="L28" s="66"/>
    </row>
    <row r="29" spans="1:12">
      <c r="A29" t="s">
        <v>19</v>
      </c>
      <c r="B29" s="43">
        <v>1010998537</v>
      </c>
      <c r="C29" s="42">
        <v>7300050811</v>
      </c>
      <c r="D29" s="54" t="s">
        <v>44</v>
      </c>
      <c r="E29" s="1">
        <v>1492886.83</v>
      </c>
      <c r="F29" s="2">
        <v>1092886.83</v>
      </c>
      <c r="G29" s="3">
        <v>364774.34</v>
      </c>
      <c r="H29" s="19">
        <v>80000</v>
      </c>
      <c r="I29" s="30">
        <v>49179.91</v>
      </c>
      <c r="J29" s="31"/>
      <c r="K29" s="27">
        <f t="shared" si="0"/>
        <v>-30820.089999999997</v>
      </c>
      <c r="L29" s="66"/>
    </row>
    <row r="30" spans="1:12">
      <c r="A30" t="s">
        <v>19</v>
      </c>
      <c r="B30" s="43">
        <v>1010998768</v>
      </c>
      <c r="C30" s="42">
        <v>7300054751</v>
      </c>
      <c r="D30" s="54" t="s">
        <v>45</v>
      </c>
      <c r="E30" s="1">
        <v>523412.22</v>
      </c>
      <c r="F30" s="2">
        <v>523412.22</v>
      </c>
      <c r="G30" s="3">
        <v>112014.16</v>
      </c>
      <c r="H30" s="19">
        <v>60000</v>
      </c>
      <c r="I30" s="30">
        <v>51817.810000000005</v>
      </c>
      <c r="J30" s="31"/>
      <c r="K30" s="27">
        <f t="shared" si="0"/>
        <v>-8182.1899999999951</v>
      </c>
      <c r="L30" s="66"/>
    </row>
    <row r="31" spans="1:12">
      <c r="A31" t="s">
        <v>32</v>
      </c>
      <c r="B31" s="51">
        <v>1011252427</v>
      </c>
      <c r="C31" s="46">
        <v>7300052470</v>
      </c>
      <c r="D31" s="46" t="s">
        <v>46</v>
      </c>
      <c r="E31" s="8">
        <v>223450</v>
      </c>
      <c r="F31" s="8">
        <v>130000</v>
      </c>
      <c r="G31" s="9">
        <v>16955.97</v>
      </c>
      <c r="H31" s="21"/>
      <c r="I31" s="35">
        <v>15990</v>
      </c>
      <c r="J31" s="31">
        <v>0</v>
      </c>
      <c r="K31" s="27">
        <f t="shared" si="0"/>
        <v>15990</v>
      </c>
      <c r="L31" s="66" t="s">
        <v>47</v>
      </c>
    </row>
    <row r="32" spans="1:12">
      <c r="A32" t="s">
        <v>32</v>
      </c>
      <c r="B32" s="51">
        <v>1011252427</v>
      </c>
      <c r="C32" s="46">
        <v>7300052470</v>
      </c>
      <c r="D32" s="46" t="s">
        <v>48</v>
      </c>
      <c r="E32" s="8">
        <v>253243.33</v>
      </c>
      <c r="F32" s="8">
        <v>147333.32999999999</v>
      </c>
      <c r="G32" s="9"/>
      <c r="H32" s="21"/>
      <c r="I32" s="35">
        <v>32708</v>
      </c>
      <c r="J32" s="31">
        <v>0</v>
      </c>
      <c r="K32" s="27">
        <f t="shared" si="0"/>
        <v>32708</v>
      </c>
      <c r="L32" s="66" t="s">
        <v>49</v>
      </c>
    </row>
    <row r="33" spans="1:12">
      <c r="A33" t="s">
        <v>19</v>
      </c>
      <c r="B33" s="43">
        <v>1010998841</v>
      </c>
      <c r="C33" s="42">
        <v>7300050813</v>
      </c>
      <c r="D33" s="54" t="s">
        <v>50</v>
      </c>
      <c r="E33" s="1">
        <v>395065.46</v>
      </c>
      <c r="F33" s="2">
        <v>305065.46000000002</v>
      </c>
      <c r="G33" s="3">
        <v>199842.21</v>
      </c>
      <c r="H33" s="19">
        <v>50000</v>
      </c>
      <c r="I33" s="30">
        <v>31421.74</v>
      </c>
      <c r="J33" s="31"/>
      <c r="K33" s="27">
        <f t="shared" si="0"/>
        <v>-18578.259999999998</v>
      </c>
      <c r="L33" s="66"/>
    </row>
    <row r="34" spans="1:12">
      <c r="A34" t="s">
        <v>19</v>
      </c>
      <c r="B34" s="43">
        <v>1010998908</v>
      </c>
      <c r="C34" s="42">
        <v>7300050814</v>
      </c>
      <c r="D34" s="54" t="s">
        <v>51</v>
      </c>
      <c r="E34" s="1">
        <v>3202469.36</v>
      </c>
      <c r="F34" s="2">
        <v>1431962.3</v>
      </c>
      <c r="G34" s="3">
        <v>156905.56</v>
      </c>
      <c r="H34" s="19"/>
      <c r="I34" s="30">
        <v>140332.29999999999</v>
      </c>
      <c r="J34" s="31"/>
      <c r="K34" s="27">
        <f t="shared" si="0"/>
        <v>140332.29999999999</v>
      </c>
      <c r="L34" s="66"/>
    </row>
    <row r="35" spans="1:12">
      <c r="A35" t="s">
        <v>12</v>
      </c>
      <c r="B35" s="43">
        <v>1011214228</v>
      </c>
      <c r="C35" s="42">
        <v>7300054256</v>
      </c>
      <c r="D35" s="54" t="s">
        <v>52</v>
      </c>
      <c r="E35" s="11">
        <v>1225819.48</v>
      </c>
      <c r="F35" s="8">
        <v>1160363.1000000001</v>
      </c>
      <c r="G35" s="9"/>
      <c r="H35" s="21">
        <v>1026870</v>
      </c>
      <c r="I35" s="35">
        <v>1160363.1000000001</v>
      </c>
      <c r="J35" s="31"/>
      <c r="K35" s="27">
        <f t="shared" si="0"/>
        <v>133493.10000000009</v>
      </c>
      <c r="L35" s="66"/>
    </row>
    <row r="36" spans="1:12" ht="14.5">
      <c r="A36" t="s">
        <v>12</v>
      </c>
      <c r="B36" s="51">
        <v>1011234862</v>
      </c>
      <c r="C36" s="46">
        <v>7300055593</v>
      </c>
      <c r="D36" s="46" t="s">
        <v>53</v>
      </c>
      <c r="E36" s="8">
        <v>812111.35</v>
      </c>
      <c r="F36" s="8">
        <v>765292.63</v>
      </c>
      <c r="G36" s="9"/>
      <c r="H36" s="21">
        <v>677250.12</v>
      </c>
      <c r="I36" s="35"/>
      <c r="J36" s="89">
        <v>765292.63</v>
      </c>
      <c r="K36" s="27">
        <f t="shared" si="0"/>
        <v>88042.510000000009</v>
      </c>
      <c r="L36" s="66"/>
    </row>
    <row r="37" spans="1:12">
      <c r="A37" t="s">
        <v>24</v>
      </c>
      <c r="B37" s="44">
        <v>1010998212</v>
      </c>
      <c r="C37" s="45">
        <v>7300052702</v>
      </c>
      <c r="D37" s="106" t="s">
        <v>54</v>
      </c>
      <c r="E37" s="107"/>
      <c r="F37" s="2">
        <v>2315655.85</v>
      </c>
      <c r="G37" s="3">
        <v>1302212.72</v>
      </c>
      <c r="H37" s="19"/>
      <c r="I37" s="30"/>
      <c r="J37" s="31"/>
      <c r="K37" s="27">
        <f t="shared" si="0"/>
        <v>0</v>
      </c>
      <c r="L37" s="66" t="s">
        <v>265</v>
      </c>
    </row>
    <row r="38" spans="1:12" ht="14.15" customHeight="1">
      <c r="A38" t="s">
        <v>24</v>
      </c>
      <c r="B38" s="43">
        <v>1010998212</v>
      </c>
      <c r="C38" s="42">
        <v>7300053301</v>
      </c>
      <c r="D38" s="106" t="s">
        <v>266</v>
      </c>
      <c r="E38" s="107"/>
      <c r="F38" s="2">
        <v>1394120</v>
      </c>
      <c r="G38" s="3">
        <v>1363203.95</v>
      </c>
      <c r="H38" s="19"/>
      <c r="I38" s="30"/>
      <c r="J38" s="31"/>
      <c r="K38" s="27">
        <f t="shared" si="0"/>
        <v>0</v>
      </c>
      <c r="L38" s="66" t="s">
        <v>265</v>
      </c>
    </row>
    <row r="39" spans="1:12">
      <c r="A39" t="s">
        <v>24</v>
      </c>
      <c r="B39" s="43">
        <v>1010998307</v>
      </c>
      <c r="C39" s="42">
        <v>7300050810</v>
      </c>
      <c r="D39" s="54" t="s">
        <v>55</v>
      </c>
      <c r="E39" s="1">
        <v>13082002</v>
      </c>
      <c r="F39" s="2">
        <v>7355468</v>
      </c>
      <c r="G39" s="3">
        <v>4272144.67</v>
      </c>
      <c r="H39" s="19">
        <v>551300</v>
      </c>
      <c r="I39" s="30">
        <v>1662335.76</v>
      </c>
      <c r="J39" s="31">
        <v>1132742.1399999999</v>
      </c>
      <c r="K39" s="27">
        <f t="shared" si="0"/>
        <v>2243777.9</v>
      </c>
      <c r="L39" s="66"/>
    </row>
    <row r="40" spans="1:12">
      <c r="A40" t="s">
        <v>32</v>
      </c>
      <c r="B40" s="44">
        <v>1010998317</v>
      </c>
      <c r="C40" s="45">
        <v>7300050331</v>
      </c>
      <c r="D40" s="54" t="s">
        <v>56</v>
      </c>
      <c r="E40" s="1">
        <v>1320756</v>
      </c>
      <c r="F40" s="2">
        <v>1320756</v>
      </c>
      <c r="G40" s="3"/>
      <c r="H40" s="19"/>
      <c r="I40" s="30"/>
      <c r="J40" s="31">
        <v>0</v>
      </c>
      <c r="K40" s="27">
        <f t="shared" si="0"/>
        <v>0</v>
      </c>
      <c r="L40" s="66" t="s">
        <v>57</v>
      </c>
    </row>
    <row r="41" spans="1:12">
      <c r="A41" t="s">
        <v>32</v>
      </c>
      <c r="B41" s="44">
        <v>1010998390</v>
      </c>
      <c r="C41" s="45">
        <v>7300050332</v>
      </c>
      <c r="D41" s="54" t="s">
        <v>58</v>
      </c>
      <c r="E41" s="1">
        <v>849654</v>
      </c>
      <c r="F41" s="2">
        <v>849654</v>
      </c>
      <c r="G41" s="3">
        <v>671150</v>
      </c>
      <c r="H41" s="19"/>
      <c r="I41" s="30"/>
      <c r="J41" s="31">
        <v>0</v>
      </c>
      <c r="K41" s="27">
        <f t="shared" si="0"/>
        <v>0</v>
      </c>
      <c r="L41" s="66" t="s">
        <v>57</v>
      </c>
    </row>
    <row r="42" spans="1:12">
      <c r="A42" t="s">
        <v>24</v>
      </c>
      <c r="B42" s="51">
        <v>1011098549</v>
      </c>
      <c r="C42" s="46">
        <v>7300051069</v>
      </c>
      <c r="D42" s="46" t="s">
        <v>59</v>
      </c>
      <c r="E42" s="8">
        <v>708825</v>
      </c>
      <c r="F42" s="8">
        <v>708825</v>
      </c>
      <c r="G42" s="9">
        <v>702131.88</v>
      </c>
      <c r="H42" s="21"/>
      <c r="I42" s="35"/>
      <c r="J42" s="31">
        <v>0</v>
      </c>
      <c r="K42" s="27">
        <f t="shared" si="0"/>
        <v>0</v>
      </c>
      <c r="L42" s="66"/>
    </row>
    <row r="43" spans="1:12">
      <c r="A43" t="s">
        <v>32</v>
      </c>
      <c r="B43" s="51">
        <v>1011106638</v>
      </c>
      <c r="C43" s="46">
        <v>7300051031</v>
      </c>
      <c r="D43" s="46" t="s">
        <v>60</v>
      </c>
      <c r="E43" s="8">
        <v>72764.149999999994</v>
      </c>
      <c r="F43" s="8">
        <v>72764.149999999994</v>
      </c>
      <c r="G43" s="9">
        <v>65702.84</v>
      </c>
      <c r="H43" s="21"/>
      <c r="I43" s="35">
        <v>2765.04</v>
      </c>
      <c r="J43" s="31">
        <v>0</v>
      </c>
      <c r="K43" s="27">
        <f t="shared" si="0"/>
        <v>2765.04</v>
      </c>
      <c r="L43" s="66" t="s">
        <v>47</v>
      </c>
    </row>
    <row r="44" spans="1:12">
      <c r="A44" t="s">
        <v>61</v>
      </c>
      <c r="B44" s="43">
        <v>1011340677</v>
      </c>
      <c r="C44" s="46">
        <v>7300052956</v>
      </c>
      <c r="D44" s="54" t="s">
        <v>62</v>
      </c>
      <c r="E44" s="11">
        <v>17172000</v>
      </c>
      <c r="F44" s="8">
        <v>17172000</v>
      </c>
      <c r="G44" s="9">
        <v>14539687.16</v>
      </c>
      <c r="H44" s="19">
        <v>1660312.75</v>
      </c>
      <c r="I44" s="35">
        <v>1759931.51</v>
      </c>
      <c r="J44" s="31">
        <v>0</v>
      </c>
      <c r="K44" s="27">
        <f t="shared" si="0"/>
        <v>99618.760000000009</v>
      </c>
      <c r="L44" s="66" t="s">
        <v>63</v>
      </c>
    </row>
    <row r="45" spans="1:12">
      <c r="A45" t="s">
        <v>24</v>
      </c>
      <c r="B45" s="44">
        <v>1011341025</v>
      </c>
      <c r="C45" s="47">
        <v>7300053635</v>
      </c>
      <c r="D45" s="54" t="s">
        <v>64</v>
      </c>
      <c r="E45" s="11">
        <v>1512160</v>
      </c>
      <c r="F45" s="8">
        <v>1512160</v>
      </c>
      <c r="G45" s="9">
        <v>1485680.46</v>
      </c>
      <c r="H45" s="21"/>
      <c r="I45" s="35"/>
      <c r="J45" s="31">
        <v>0</v>
      </c>
      <c r="K45" s="27">
        <f t="shared" si="0"/>
        <v>0</v>
      </c>
      <c r="L45" s="66" t="s">
        <v>65</v>
      </c>
    </row>
    <row r="46" spans="1:12">
      <c r="A46" t="s">
        <v>32</v>
      </c>
      <c r="B46" s="51">
        <v>1011377971</v>
      </c>
      <c r="C46" s="46">
        <v>7300053044</v>
      </c>
      <c r="D46" s="46" t="s">
        <v>66</v>
      </c>
      <c r="E46" s="8">
        <v>1413510</v>
      </c>
      <c r="F46" s="8">
        <v>1413510</v>
      </c>
      <c r="G46" s="9">
        <v>382074.42</v>
      </c>
      <c r="H46" s="21"/>
      <c r="I46" s="35">
        <v>375428.25</v>
      </c>
      <c r="J46" s="31">
        <v>0</v>
      </c>
      <c r="K46" s="27">
        <f t="shared" si="0"/>
        <v>375428.25</v>
      </c>
      <c r="L46" s="66" t="s">
        <v>67</v>
      </c>
    </row>
    <row r="47" spans="1:12">
      <c r="A47" t="s">
        <v>12</v>
      </c>
      <c r="B47" s="50">
        <v>1011418566</v>
      </c>
      <c r="C47" s="47">
        <v>7300054715</v>
      </c>
      <c r="D47" s="46" t="s">
        <v>68</v>
      </c>
      <c r="E47" s="8">
        <v>103776</v>
      </c>
      <c r="F47" s="8">
        <v>103776</v>
      </c>
      <c r="G47" s="9">
        <v>78678</v>
      </c>
      <c r="H47" s="21"/>
      <c r="I47" s="35"/>
      <c r="J47" s="31">
        <v>0</v>
      </c>
      <c r="K47" s="27">
        <f t="shared" si="0"/>
        <v>0</v>
      </c>
      <c r="L47" s="66" t="s">
        <v>65</v>
      </c>
    </row>
    <row r="48" spans="1:12">
      <c r="A48" t="s">
        <v>32</v>
      </c>
      <c r="B48" s="50">
        <v>1011479715</v>
      </c>
      <c r="C48" s="47">
        <v>7300054121</v>
      </c>
      <c r="D48" s="46" t="s">
        <v>69</v>
      </c>
      <c r="E48" s="8">
        <v>403504</v>
      </c>
      <c r="F48" s="8">
        <v>403504</v>
      </c>
      <c r="G48" s="9">
        <v>383366.6</v>
      </c>
      <c r="H48" s="21"/>
      <c r="I48" s="35"/>
      <c r="J48" s="31"/>
      <c r="K48" s="27">
        <f t="shared" si="0"/>
        <v>0</v>
      </c>
      <c r="L48" s="66" t="s">
        <v>65</v>
      </c>
    </row>
    <row r="49" spans="1:12" ht="14.15" customHeight="1">
      <c r="A49" t="s">
        <v>16</v>
      </c>
      <c r="B49" s="51">
        <v>1011618685</v>
      </c>
      <c r="C49" s="46">
        <v>7300056474</v>
      </c>
      <c r="D49" s="46" t="s">
        <v>70</v>
      </c>
      <c r="E49" s="123">
        <v>990000</v>
      </c>
      <c r="F49" s="8">
        <v>160012</v>
      </c>
      <c r="G49" s="9"/>
      <c r="H49" s="21"/>
      <c r="I49" s="124">
        <v>296000.19</v>
      </c>
      <c r="J49" s="117">
        <v>0</v>
      </c>
      <c r="K49" s="121">
        <f t="shared" si="0"/>
        <v>296000.19</v>
      </c>
      <c r="L49" s="119" t="s">
        <v>38</v>
      </c>
    </row>
    <row r="50" spans="1:12" ht="14.15" customHeight="1">
      <c r="A50" t="s">
        <v>16</v>
      </c>
      <c r="B50" s="51">
        <v>1011618685</v>
      </c>
      <c r="C50" s="46">
        <v>7300056474</v>
      </c>
      <c r="D50" s="46" t="s">
        <v>71</v>
      </c>
      <c r="E50" s="123"/>
      <c r="F50" s="8">
        <v>137154</v>
      </c>
      <c r="G50" s="9"/>
      <c r="H50" s="21"/>
      <c r="I50" s="125"/>
      <c r="J50" s="118"/>
      <c r="K50" s="122"/>
      <c r="L50" s="120"/>
    </row>
    <row r="51" spans="1:12">
      <c r="A51" t="s">
        <v>16</v>
      </c>
      <c r="B51" s="51">
        <v>1011618685</v>
      </c>
      <c r="C51" s="46">
        <v>7300056454</v>
      </c>
      <c r="D51" s="46" t="s">
        <v>70</v>
      </c>
      <c r="E51" s="123"/>
      <c r="F51" s="8">
        <v>170183</v>
      </c>
      <c r="G51" s="9">
        <v>61960</v>
      </c>
      <c r="H51" s="21"/>
      <c r="I51" s="124">
        <v>268328.84000000003</v>
      </c>
      <c r="J51" s="117">
        <v>0</v>
      </c>
      <c r="K51" s="121">
        <f t="shared" si="0"/>
        <v>268328.84000000003</v>
      </c>
      <c r="L51" s="119" t="s">
        <v>72</v>
      </c>
    </row>
    <row r="52" spans="1:12" ht="14.15" customHeight="1">
      <c r="A52" t="s">
        <v>16</v>
      </c>
      <c r="B52" s="51">
        <v>1011618685</v>
      </c>
      <c r="C52" s="46">
        <v>7300056454</v>
      </c>
      <c r="D52" s="46" t="s">
        <v>71</v>
      </c>
      <c r="E52" s="123"/>
      <c r="F52" s="8">
        <v>170183</v>
      </c>
      <c r="G52" s="9"/>
      <c r="H52" s="21"/>
      <c r="I52" s="125"/>
      <c r="J52" s="118"/>
      <c r="K52" s="122"/>
      <c r="L52" s="120"/>
    </row>
    <row r="53" spans="1:12">
      <c r="A53" t="s">
        <v>16</v>
      </c>
      <c r="B53" s="51">
        <v>1011618685</v>
      </c>
      <c r="C53" s="46">
        <v>7300056431</v>
      </c>
      <c r="D53" s="46" t="s">
        <v>70</v>
      </c>
      <c r="E53" s="123"/>
      <c r="F53" s="8">
        <v>528953</v>
      </c>
      <c r="G53" s="9">
        <v>284786.30188679241</v>
      </c>
      <c r="H53" s="21"/>
      <c r="I53" s="124">
        <v>714720.27</v>
      </c>
      <c r="J53" s="117">
        <v>0</v>
      </c>
      <c r="K53" s="121">
        <f t="shared" si="0"/>
        <v>714720.27</v>
      </c>
      <c r="L53" s="119" t="s">
        <v>73</v>
      </c>
    </row>
    <row r="54" spans="1:12" ht="14.15" customHeight="1">
      <c r="A54" t="s">
        <v>16</v>
      </c>
      <c r="B54" s="51">
        <v>1011618685</v>
      </c>
      <c r="C54" s="46">
        <v>7300056431</v>
      </c>
      <c r="D54" s="46" t="s">
        <v>71</v>
      </c>
      <c r="E54" s="123"/>
      <c r="F54" s="8">
        <v>517453</v>
      </c>
      <c r="G54" s="9"/>
      <c r="H54" s="21"/>
      <c r="I54" s="125"/>
      <c r="J54" s="118"/>
      <c r="K54" s="122"/>
      <c r="L54" s="120"/>
    </row>
    <row r="55" spans="1:12">
      <c r="A55" t="s">
        <v>12</v>
      </c>
      <c r="B55" s="51">
        <v>1011701749</v>
      </c>
      <c r="C55" s="46">
        <v>7300056104</v>
      </c>
      <c r="D55" s="46" t="s">
        <v>74</v>
      </c>
      <c r="E55" s="8">
        <v>108964.8</v>
      </c>
      <c r="F55" s="8">
        <v>108964.8</v>
      </c>
      <c r="G55" s="9">
        <v>69936</v>
      </c>
      <c r="H55" s="21"/>
      <c r="I55" s="35"/>
      <c r="J55" s="36">
        <v>0</v>
      </c>
      <c r="K55" s="27">
        <f t="shared" si="0"/>
        <v>0</v>
      </c>
      <c r="L55" s="66"/>
    </row>
    <row r="56" spans="1:12">
      <c r="A56" t="s">
        <v>16</v>
      </c>
      <c r="B56" s="48">
        <v>1011764103</v>
      </c>
      <c r="C56" s="49">
        <v>7300055521</v>
      </c>
      <c r="D56" s="46" t="s">
        <v>75</v>
      </c>
      <c r="E56" s="8">
        <v>1932138.98</v>
      </c>
      <c r="F56" s="8">
        <v>1932138.98</v>
      </c>
      <c r="G56" s="9">
        <v>1799751.56</v>
      </c>
      <c r="H56" s="21"/>
      <c r="I56" s="35"/>
      <c r="J56" s="36">
        <v>0</v>
      </c>
      <c r="K56" s="27">
        <f t="shared" si="0"/>
        <v>0</v>
      </c>
      <c r="L56" s="66" t="s">
        <v>65</v>
      </c>
    </row>
    <row r="57" spans="1:12">
      <c r="A57" t="s">
        <v>12</v>
      </c>
      <c r="B57" s="51">
        <v>1011747405</v>
      </c>
      <c r="C57" s="46">
        <v>7300057117</v>
      </c>
      <c r="D57" s="46" t="s">
        <v>76</v>
      </c>
      <c r="E57" s="8">
        <v>398826.72</v>
      </c>
      <c r="F57" s="8">
        <v>388856</v>
      </c>
      <c r="G57" s="9"/>
      <c r="H57" s="21"/>
      <c r="I57" s="35">
        <v>388856</v>
      </c>
      <c r="J57" s="36">
        <v>0</v>
      </c>
      <c r="K57" s="27">
        <f t="shared" si="0"/>
        <v>388856</v>
      </c>
      <c r="L57" s="66"/>
    </row>
    <row r="58" spans="1:12">
      <c r="A58" t="s">
        <v>24</v>
      </c>
      <c r="B58" s="51">
        <v>1011732298</v>
      </c>
      <c r="C58" s="46">
        <v>7300055765</v>
      </c>
      <c r="D58" s="46" t="s">
        <v>77</v>
      </c>
      <c r="E58" s="8">
        <v>1890200</v>
      </c>
      <c r="F58" s="8">
        <v>1890200</v>
      </c>
      <c r="G58" s="9">
        <v>627788.80000000005</v>
      </c>
      <c r="H58" s="21"/>
      <c r="I58" s="35">
        <v>1251312.3999999999</v>
      </c>
      <c r="J58" s="36">
        <v>0</v>
      </c>
      <c r="K58" s="27">
        <f t="shared" si="0"/>
        <v>1251312.3999999999</v>
      </c>
      <c r="L58" s="66"/>
    </row>
    <row r="59" spans="1:12">
      <c r="A59" t="s">
        <v>32</v>
      </c>
      <c r="B59" s="51">
        <v>1011753851</v>
      </c>
      <c r="C59" s="46">
        <v>7300055967</v>
      </c>
      <c r="D59" s="46" t="s">
        <v>78</v>
      </c>
      <c r="E59" s="8">
        <v>16497.97</v>
      </c>
      <c r="F59" s="8">
        <v>16497.97</v>
      </c>
      <c r="G59" s="9"/>
      <c r="H59" s="21"/>
      <c r="I59" s="87"/>
      <c r="J59" s="36">
        <v>0</v>
      </c>
      <c r="K59" s="27">
        <f t="shared" si="0"/>
        <v>0</v>
      </c>
      <c r="L59" s="66" t="s">
        <v>79</v>
      </c>
    </row>
    <row r="60" spans="1:12">
      <c r="A60" t="s">
        <v>80</v>
      </c>
      <c r="B60" s="51">
        <v>1011794761</v>
      </c>
      <c r="C60" s="46">
        <v>7300056053</v>
      </c>
      <c r="D60" s="46" t="s">
        <v>81</v>
      </c>
      <c r="E60" s="8">
        <v>64000</v>
      </c>
      <c r="F60" s="8">
        <v>64000</v>
      </c>
      <c r="G60" s="9">
        <v>29200</v>
      </c>
      <c r="H60" s="21"/>
      <c r="I60" s="35"/>
      <c r="J60" s="36">
        <v>20000</v>
      </c>
      <c r="K60" s="27">
        <f t="shared" si="0"/>
        <v>20000</v>
      </c>
      <c r="L60" s="66"/>
    </row>
    <row r="61" spans="1:12">
      <c r="A61" t="s">
        <v>24</v>
      </c>
      <c r="B61" s="48">
        <v>1011822164</v>
      </c>
      <c r="C61" s="49">
        <v>7300056486</v>
      </c>
      <c r="D61" s="56" t="s">
        <v>82</v>
      </c>
      <c r="E61" s="8">
        <v>78844.78</v>
      </c>
      <c r="F61" s="8">
        <v>78844.78</v>
      </c>
      <c r="G61" s="9">
        <v>56142.2</v>
      </c>
      <c r="H61" s="21"/>
      <c r="I61" s="35"/>
      <c r="J61" s="36"/>
      <c r="K61" s="27">
        <f t="shared" si="0"/>
        <v>0</v>
      </c>
      <c r="L61" s="66" t="s">
        <v>65</v>
      </c>
    </row>
    <row r="62" spans="1:12">
      <c r="A62" t="s">
        <v>80</v>
      </c>
      <c r="B62" s="51">
        <v>1011818236</v>
      </c>
      <c r="C62" s="46">
        <v>7300056303</v>
      </c>
      <c r="D62" s="46" t="s">
        <v>83</v>
      </c>
      <c r="E62" s="8">
        <v>22800</v>
      </c>
      <c r="F62" s="8">
        <v>22800</v>
      </c>
      <c r="G62" s="9"/>
      <c r="H62" s="21"/>
      <c r="I62" s="35"/>
      <c r="J62" s="36">
        <v>0</v>
      </c>
      <c r="K62" s="27">
        <f t="shared" si="0"/>
        <v>0</v>
      </c>
      <c r="L62" s="66"/>
    </row>
    <row r="63" spans="1:12">
      <c r="A63" t="s">
        <v>61</v>
      </c>
      <c r="B63" s="51">
        <v>1011821705</v>
      </c>
      <c r="C63" s="46">
        <v>7300057202</v>
      </c>
      <c r="D63" s="46" t="s">
        <v>84</v>
      </c>
      <c r="E63" s="8">
        <v>17116022.27</v>
      </c>
      <c r="F63" s="8">
        <v>17116022.27</v>
      </c>
      <c r="G63" s="9"/>
      <c r="H63" s="21">
        <v>64115.49</v>
      </c>
      <c r="I63" s="35">
        <v>5827008.8899999997</v>
      </c>
      <c r="J63" s="36">
        <f>F63-I63</f>
        <v>11289013.379999999</v>
      </c>
      <c r="K63" s="27">
        <f t="shared" si="0"/>
        <v>17051906.780000001</v>
      </c>
      <c r="L63" s="66"/>
    </row>
    <row r="64" spans="1:12">
      <c r="A64" t="s">
        <v>32</v>
      </c>
      <c r="B64" s="51">
        <v>1011821735</v>
      </c>
      <c r="C64" s="46">
        <v>7300057065</v>
      </c>
      <c r="D64" s="46" t="s">
        <v>85</v>
      </c>
      <c r="E64" s="8">
        <v>930000</v>
      </c>
      <c r="F64" s="8">
        <v>930000</v>
      </c>
      <c r="G64" s="9">
        <v>293412.53999999998</v>
      </c>
      <c r="H64" s="21">
        <v>161580</v>
      </c>
      <c r="I64" s="35">
        <v>451050</v>
      </c>
      <c r="J64" s="36">
        <f>F64-I64</f>
        <v>478950</v>
      </c>
      <c r="K64" s="27">
        <f t="shared" si="0"/>
        <v>768420</v>
      </c>
      <c r="L64" s="66"/>
    </row>
    <row r="65" spans="1:12">
      <c r="A65" t="s">
        <v>86</v>
      </c>
      <c r="B65" s="51">
        <v>1011913263</v>
      </c>
      <c r="C65" s="46">
        <v>7300057376</v>
      </c>
      <c r="D65" s="46" t="s">
        <v>87</v>
      </c>
      <c r="E65" s="8">
        <v>31000</v>
      </c>
      <c r="F65" s="8">
        <v>28247.1</v>
      </c>
      <c r="G65" s="9"/>
      <c r="H65" s="21"/>
      <c r="I65" s="35"/>
      <c r="J65" s="36"/>
      <c r="K65" s="27">
        <f t="shared" si="0"/>
        <v>0</v>
      </c>
      <c r="L65" s="66"/>
    </row>
    <row r="66" spans="1:12">
      <c r="A66" t="s">
        <v>24</v>
      </c>
      <c r="B66" s="51">
        <v>1011933235</v>
      </c>
      <c r="C66" s="46">
        <v>7300057442</v>
      </c>
      <c r="D66" s="46" t="s">
        <v>88</v>
      </c>
      <c r="E66" s="8">
        <v>651900</v>
      </c>
      <c r="F66" s="8">
        <v>230731.11</v>
      </c>
      <c r="G66" s="9">
        <v>124383.36</v>
      </c>
      <c r="H66" s="21">
        <v>62191.68</v>
      </c>
      <c r="I66" s="35">
        <v>65923.179999999993</v>
      </c>
      <c r="J66" s="36">
        <v>0</v>
      </c>
      <c r="K66" s="27">
        <f t="shared" si="0"/>
        <v>3731.4999999999927</v>
      </c>
      <c r="L66" s="66"/>
    </row>
    <row r="67" spans="1:12">
      <c r="A67" t="s">
        <v>24</v>
      </c>
      <c r="B67" s="51">
        <v>1011929760</v>
      </c>
      <c r="C67" s="46">
        <v>7300057318</v>
      </c>
      <c r="D67" s="46" t="s">
        <v>89</v>
      </c>
      <c r="E67" s="8">
        <v>74200</v>
      </c>
      <c r="F67" s="8">
        <v>74200</v>
      </c>
      <c r="G67" s="9">
        <v>57150</v>
      </c>
      <c r="H67" s="21"/>
      <c r="I67" s="35"/>
      <c r="J67" s="36">
        <v>0</v>
      </c>
      <c r="K67" s="27">
        <f t="shared" ref="K67:K128" si="1">I67+J67-H67</f>
        <v>0</v>
      </c>
      <c r="L67" s="66"/>
    </row>
    <row r="68" spans="1:12">
      <c r="A68" t="s">
        <v>19</v>
      </c>
      <c r="B68" s="51">
        <v>1011957263</v>
      </c>
      <c r="C68" s="46">
        <v>7300058723</v>
      </c>
      <c r="D68" s="46" t="s">
        <v>90</v>
      </c>
      <c r="E68" s="8">
        <v>450000</v>
      </c>
      <c r="F68" s="8"/>
      <c r="G68" s="9"/>
      <c r="H68" s="21"/>
      <c r="I68" s="35"/>
      <c r="J68" s="36"/>
      <c r="K68" s="27">
        <f t="shared" si="1"/>
        <v>0</v>
      </c>
      <c r="L68" s="66"/>
    </row>
    <row r="69" spans="1:12">
      <c r="A69" t="s">
        <v>24</v>
      </c>
      <c r="B69" s="43">
        <v>1011957031</v>
      </c>
      <c r="C69" s="46">
        <v>7300057343</v>
      </c>
      <c r="D69" s="46" t="s">
        <v>91</v>
      </c>
      <c r="E69" s="8">
        <v>28260</v>
      </c>
      <c r="F69" s="8">
        <v>28260</v>
      </c>
      <c r="G69" s="9">
        <v>20716.98</v>
      </c>
      <c r="H69" s="21"/>
      <c r="I69" s="35">
        <v>6273.72</v>
      </c>
      <c r="J69" s="36">
        <v>0</v>
      </c>
      <c r="K69" s="27">
        <f t="shared" si="1"/>
        <v>6273.72</v>
      </c>
      <c r="L69" s="66"/>
    </row>
    <row r="70" spans="1:12">
      <c r="A70" t="s">
        <v>24</v>
      </c>
      <c r="B70" s="43">
        <v>1011957025</v>
      </c>
      <c r="C70" s="46">
        <v>7300057728</v>
      </c>
      <c r="D70" s="46" t="s">
        <v>92</v>
      </c>
      <c r="E70" s="8">
        <v>256475</v>
      </c>
      <c r="F70" s="8">
        <v>256475</v>
      </c>
      <c r="G70" s="9">
        <v>160890.01999999999</v>
      </c>
      <c r="H70" s="21"/>
      <c r="I70" s="35"/>
      <c r="J70" s="36">
        <v>0</v>
      </c>
      <c r="K70" s="27">
        <f t="shared" si="1"/>
        <v>0</v>
      </c>
      <c r="L70" s="66"/>
    </row>
    <row r="71" spans="1:12">
      <c r="A71" t="s">
        <v>24</v>
      </c>
      <c r="B71" s="44">
        <v>1011957012</v>
      </c>
      <c r="C71" s="47">
        <v>7300057384</v>
      </c>
      <c r="D71" s="46" t="s">
        <v>93</v>
      </c>
      <c r="E71" s="8">
        <v>76000</v>
      </c>
      <c r="F71" s="8">
        <v>76000</v>
      </c>
      <c r="G71" s="9">
        <v>73600</v>
      </c>
      <c r="H71" s="21"/>
      <c r="I71" s="35"/>
      <c r="J71" s="36"/>
      <c r="K71" s="27">
        <f t="shared" si="1"/>
        <v>0</v>
      </c>
      <c r="L71" s="66" t="s">
        <v>65</v>
      </c>
    </row>
    <row r="72" spans="1:12">
      <c r="A72" t="s">
        <v>32</v>
      </c>
      <c r="B72" s="43">
        <v>1011953156</v>
      </c>
      <c r="C72" s="46">
        <v>7300059544</v>
      </c>
      <c r="D72" s="46" t="s">
        <v>94</v>
      </c>
      <c r="E72" s="8">
        <v>81750</v>
      </c>
      <c r="F72" s="8">
        <v>63203.55</v>
      </c>
      <c r="G72" s="9"/>
      <c r="H72" s="21"/>
      <c r="I72" s="35">
        <v>15611.27</v>
      </c>
      <c r="J72" s="36">
        <v>40000</v>
      </c>
      <c r="K72" s="27">
        <f t="shared" si="1"/>
        <v>55611.270000000004</v>
      </c>
      <c r="L72" s="66"/>
    </row>
    <row r="73" spans="1:12">
      <c r="A73" t="s">
        <v>32</v>
      </c>
      <c r="B73" s="43">
        <v>1011953156</v>
      </c>
      <c r="C73" s="46">
        <v>7300059544</v>
      </c>
      <c r="D73" s="46" t="s">
        <v>95</v>
      </c>
      <c r="E73" s="8">
        <v>80360.25</v>
      </c>
      <c r="F73" s="8">
        <v>62129.1</v>
      </c>
      <c r="G73" s="9"/>
      <c r="H73" s="21"/>
      <c r="I73" s="35"/>
      <c r="J73" s="36">
        <v>0</v>
      </c>
      <c r="K73" s="27">
        <f t="shared" si="1"/>
        <v>0</v>
      </c>
      <c r="L73" s="66"/>
    </row>
    <row r="74" spans="1:12">
      <c r="A74" t="s">
        <v>32</v>
      </c>
      <c r="B74" s="43">
        <v>1011953156</v>
      </c>
      <c r="C74" s="46">
        <v>7300059544</v>
      </c>
      <c r="D74" s="46" t="s">
        <v>96</v>
      </c>
      <c r="E74" s="8">
        <v>80360.25</v>
      </c>
      <c r="F74" s="8">
        <v>62129.1</v>
      </c>
      <c r="G74" s="9"/>
      <c r="H74" s="21"/>
      <c r="I74" s="35"/>
      <c r="J74" s="36">
        <v>0</v>
      </c>
      <c r="K74" s="27">
        <f t="shared" si="1"/>
        <v>0</v>
      </c>
      <c r="L74" s="66"/>
    </row>
    <row r="75" spans="1:12">
      <c r="A75" t="s">
        <v>32</v>
      </c>
      <c r="B75" s="43">
        <v>1011953156</v>
      </c>
      <c r="C75" s="46">
        <v>7300059544</v>
      </c>
      <c r="D75" s="46" t="s">
        <v>97</v>
      </c>
      <c r="E75" s="8">
        <v>12262.5</v>
      </c>
      <c r="F75" s="8">
        <v>9480.5400000000009</v>
      </c>
      <c r="G75" s="9"/>
      <c r="H75" s="21"/>
      <c r="I75" s="35"/>
      <c r="J75" s="36">
        <v>0</v>
      </c>
      <c r="K75" s="27">
        <f t="shared" si="1"/>
        <v>0</v>
      </c>
      <c r="L75" s="66"/>
    </row>
    <row r="76" spans="1:12">
      <c r="A76" t="s">
        <v>19</v>
      </c>
      <c r="B76" s="51">
        <v>1011953039</v>
      </c>
      <c r="C76" s="46">
        <v>7300058726</v>
      </c>
      <c r="D76" s="46" t="s">
        <v>98</v>
      </c>
      <c r="E76" s="8">
        <v>623982.28</v>
      </c>
      <c r="F76" s="8">
        <v>623982.28</v>
      </c>
      <c r="G76" s="9"/>
      <c r="H76" s="21"/>
      <c r="I76" s="35">
        <v>96717.209999999992</v>
      </c>
      <c r="J76" s="36">
        <v>588662.52830188675</v>
      </c>
      <c r="K76" s="27">
        <f t="shared" si="1"/>
        <v>685379.73830188671</v>
      </c>
      <c r="L76" s="66"/>
    </row>
    <row r="77" spans="1:12">
      <c r="A77" t="s">
        <v>99</v>
      </c>
      <c r="B77" s="51">
        <v>1011982849</v>
      </c>
      <c r="C77" s="46"/>
      <c r="D77" s="46" t="s">
        <v>100</v>
      </c>
      <c r="E77" s="8">
        <v>499146.15</v>
      </c>
      <c r="F77" s="8"/>
      <c r="G77" s="9"/>
      <c r="H77" s="21"/>
      <c r="I77" s="35"/>
      <c r="J77" s="36">
        <v>30000</v>
      </c>
      <c r="K77" s="27">
        <f t="shared" si="1"/>
        <v>30000</v>
      </c>
      <c r="L77" s="66"/>
    </row>
    <row r="78" spans="1:12">
      <c r="A78" t="s">
        <v>19</v>
      </c>
      <c r="B78" s="51">
        <v>1011982673</v>
      </c>
      <c r="C78" s="46">
        <v>7300058724</v>
      </c>
      <c r="D78" s="46" t="s">
        <v>101</v>
      </c>
      <c r="E78" s="8">
        <v>512268.11</v>
      </c>
      <c r="F78" s="8">
        <v>495611</v>
      </c>
      <c r="G78" s="9"/>
      <c r="H78" s="21"/>
      <c r="I78" s="35"/>
      <c r="J78" s="36"/>
      <c r="K78" s="27">
        <f t="shared" si="1"/>
        <v>0</v>
      </c>
      <c r="L78" s="66"/>
    </row>
    <row r="79" spans="1:12">
      <c r="A79" t="s">
        <v>16</v>
      </c>
      <c r="B79" s="51">
        <v>1011973523</v>
      </c>
      <c r="C79" s="46">
        <v>7300057941</v>
      </c>
      <c r="D79" s="85" t="s">
        <v>102</v>
      </c>
      <c r="E79" s="2">
        <v>1208987</v>
      </c>
      <c r="F79" s="2">
        <v>1208987</v>
      </c>
      <c r="G79" s="3">
        <v>1065117.55</v>
      </c>
      <c r="H79" s="19"/>
      <c r="I79" s="30"/>
      <c r="J79" s="31">
        <v>145950.60999999999</v>
      </c>
      <c r="K79" s="27">
        <f t="shared" si="1"/>
        <v>145950.60999999999</v>
      </c>
      <c r="L79" s="66" t="s">
        <v>103</v>
      </c>
    </row>
    <row r="80" spans="1:12">
      <c r="A80" t="s">
        <v>32</v>
      </c>
      <c r="B80" s="51">
        <v>1012000054</v>
      </c>
      <c r="C80" s="46">
        <v>7300058021</v>
      </c>
      <c r="D80" s="46" t="s">
        <v>104</v>
      </c>
      <c r="E80" s="2">
        <v>76956</v>
      </c>
      <c r="F80" s="2">
        <v>76956</v>
      </c>
      <c r="G80" s="3"/>
      <c r="H80" s="19"/>
      <c r="I80" s="30">
        <v>538.69000000000005</v>
      </c>
      <c r="J80" s="31">
        <v>2000</v>
      </c>
      <c r="K80" s="27">
        <f t="shared" si="1"/>
        <v>2538.69</v>
      </c>
      <c r="L80" s="66"/>
    </row>
    <row r="81" spans="1:12">
      <c r="A81" t="s">
        <v>32</v>
      </c>
      <c r="B81" s="51" t="s">
        <v>105</v>
      </c>
      <c r="C81" s="46" t="s">
        <v>106</v>
      </c>
      <c r="D81" s="46" t="s">
        <v>107</v>
      </c>
      <c r="E81" s="2">
        <v>210106.4</v>
      </c>
      <c r="F81" s="2">
        <v>210106.4</v>
      </c>
      <c r="G81" s="3"/>
      <c r="H81" s="19">
        <v>138749.51999999999</v>
      </c>
      <c r="I81" s="62">
        <v>198213.58490566001</v>
      </c>
      <c r="J81" s="31">
        <v>0</v>
      </c>
      <c r="K81" s="27">
        <f t="shared" si="1"/>
        <v>59464.064905660023</v>
      </c>
      <c r="L81" s="66"/>
    </row>
    <row r="82" spans="1:12">
      <c r="A82" t="s">
        <v>24</v>
      </c>
      <c r="B82" s="50">
        <v>1012008968</v>
      </c>
      <c r="C82" s="47">
        <v>7300057743</v>
      </c>
      <c r="D82" s="46" t="s">
        <v>108</v>
      </c>
      <c r="E82" s="2">
        <v>4722</v>
      </c>
      <c r="F82" s="2">
        <v>4722</v>
      </c>
      <c r="G82" s="3">
        <v>4454.72</v>
      </c>
      <c r="H82" s="19"/>
      <c r="I82" s="30"/>
      <c r="J82" s="31"/>
      <c r="K82" s="27">
        <f t="shared" si="1"/>
        <v>0</v>
      </c>
      <c r="L82" s="66" t="s">
        <v>65</v>
      </c>
    </row>
    <row r="83" spans="1:12">
      <c r="A83" t="s">
        <v>19</v>
      </c>
      <c r="B83" s="51">
        <v>1012013291</v>
      </c>
      <c r="C83" s="46">
        <v>7300057766</v>
      </c>
      <c r="D83" s="46" t="s">
        <v>109</v>
      </c>
      <c r="E83" s="10">
        <v>649.9</v>
      </c>
      <c r="F83" s="8">
        <v>649.9</v>
      </c>
      <c r="G83" s="9"/>
      <c r="H83" s="21"/>
      <c r="I83" s="35">
        <v>649.9</v>
      </c>
      <c r="J83" s="36"/>
      <c r="K83" s="27">
        <f t="shared" si="1"/>
        <v>649.9</v>
      </c>
      <c r="L83" s="66"/>
    </row>
    <row r="84" spans="1:12">
      <c r="A84" t="s">
        <v>32</v>
      </c>
      <c r="B84" s="51">
        <v>1011991028</v>
      </c>
      <c r="C84" s="46">
        <v>7300059781</v>
      </c>
      <c r="D84" s="46" t="s">
        <v>110</v>
      </c>
      <c r="E84" s="8">
        <v>130510.48</v>
      </c>
      <c r="F84" s="8">
        <v>114288.2</v>
      </c>
      <c r="G84" s="9"/>
      <c r="H84" s="21"/>
      <c r="I84" s="35">
        <v>114288.2</v>
      </c>
      <c r="J84" s="36">
        <v>0</v>
      </c>
      <c r="K84" s="27">
        <f t="shared" si="1"/>
        <v>114288.2</v>
      </c>
      <c r="L84" s="66" t="s">
        <v>111</v>
      </c>
    </row>
    <row r="85" spans="1:12">
      <c r="A85" t="s">
        <v>16</v>
      </c>
      <c r="B85" s="51">
        <v>1012004339</v>
      </c>
      <c r="C85" s="46">
        <v>7300058022</v>
      </c>
      <c r="D85" s="46" t="s">
        <v>112</v>
      </c>
      <c r="E85" s="8">
        <v>76219</v>
      </c>
      <c r="F85" s="8"/>
      <c r="G85" s="9"/>
      <c r="H85" s="21"/>
      <c r="I85" s="35"/>
      <c r="J85" s="36">
        <v>0</v>
      </c>
      <c r="K85" s="27">
        <f t="shared" si="1"/>
        <v>0</v>
      </c>
      <c r="L85" s="66" t="s">
        <v>113</v>
      </c>
    </row>
    <row r="86" spans="1:12">
      <c r="A86" t="s">
        <v>32</v>
      </c>
      <c r="B86" s="51">
        <v>1012008872</v>
      </c>
      <c r="C86" s="46">
        <v>7300058204</v>
      </c>
      <c r="D86" s="46" t="s">
        <v>114</v>
      </c>
      <c r="E86" s="8">
        <v>197180</v>
      </c>
      <c r="F86" s="8">
        <v>179582</v>
      </c>
      <c r="G86" s="9"/>
      <c r="H86" s="21"/>
      <c r="I86" s="35">
        <v>57825.4</v>
      </c>
      <c r="J86" s="36">
        <f>7802*2+40000</f>
        <v>55604</v>
      </c>
      <c r="K86" s="27">
        <f t="shared" si="1"/>
        <v>113429.4</v>
      </c>
      <c r="L86" s="66"/>
    </row>
    <row r="87" spans="1:12">
      <c r="A87" t="s">
        <v>12</v>
      </c>
      <c r="B87" s="50">
        <v>1012047957</v>
      </c>
      <c r="C87" s="47">
        <v>7300058031</v>
      </c>
      <c r="D87" s="46" t="s">
        <v>115</v>
      </c>
      <c r="E87" s="8">
        <v>2650</v>
      </c>
      <c r="F87" s="8">
        <v>2500</v>
      </c>
      <c r="G87" s="9">
        <v>2500</v>
      </c>
      <c r="H87" s="21"/>
      <c r="I87" s="35"/>
      <c r="J87" s="36">
        <v>0</v>
      </c>
      <c r="K87" s="27">
        <f t="shared" si="1"/>
        <v>0</v>
      </c>
      <c r="L87" s="66" t="s">
        <v>65</v>
      </c>
    </row>
    <row r="88" spans="1:12">
      <c r="A88" t="s">
        <v>16</v>
      </c>
      <c r="B88" s="51">
        <v>1012047678</v>
      </c>
      <c r="C88" s="46">
        <v>7300058025</v>
      </c>
      <c r="D88" s="46" t="s">
        <v>116</v>
      </c>
      <c r="E88" s="8">
        <v>15000</v>
      </c>
      <c r="F88" s="8">
        <v>15000</v>
      </c>
      <c r="G88" s="9"/>
      <c r="H88" s="21"/>
      <c r="I88" s="35">
        <v>15000</v>
      </c>
      <c r="J88" s="36">
        <v>0</v>
      </c>
      <c r="K88" s="27">
        <f t="shared" si="1"/>
        <v>15000</v>
      </c>
      <c r="L88" s="66"/>
    </row>
    <row r="89" spans="1:12">
      <c r="A89" t="s">
        <v>16</v>
      </c>
      <c r="B89" s="51">
        <v>1012053112</v>
      </c>
      <c r="C89" s="46">
        <v>7300058028</v>
      </c>
      <c r="D89" s="46" t="s">
        <v>117</v>
      </c>
      <c r="E89" s="8">
        <v>2968</v>
      </c>
      <c r="F89" s="8">
        <v>2968</v>
      </c>
      <c r="G89" s="9">
        <v>2550</v>
      </c>
      <c r="H89" s="21"/>
      <c r="I89" s="35"/>
      <c r="J89" s="36">
        <v>0</v>
      </c>
      <c r="K89" s="27">
        <f t="shared" si="1"/>
        <v>0</v>
      </c>
      <c r="L89" s="66" t="s">
        <v>72</v>
      </c>
    </row>
    <row r="90" spans="1:12">
      <c r="A90" t="s">
        <v>24</v>
      </c>
      <c r="B90" s="51">
        <v>1012052507</v>
      </c>
      <c r="C90" s="46">
        <v>7300058739</v>
      </c>
      <c r="D90" s="46" t="s">
        <v>118</v>
      </c>
      <c r="E90" s="8">
        <v>1216880</v>
      </c>
      <c r="F90" s="8">
        <v>490356</v>
      </c>
      <c r="G90" s="9"/>
      <c r="H90" s="21"/>
      <c r="I90" s="35">
        <v>188296.7</v>
      </c>
      <c r="J90" s="36">
        <v>302060</v>
      </c>
      <c r="K90" s="27">
        <f t="shared" si="1"/>
        <v>490356.7</v>
      </c>
      <c r="L90" s="66"/>
    </row>
    <row r="91" spans="1:12" ht="14.5">
      <c r="A91" t="s">
        <v>12</v>
      </c>
      <c r="B91" s="51">
        <v>1012052511</v>
      </c>
      <c r="C91" s="46">
        <v>7300058349</v>
      </c>
      <c r="D91" s="46" t="s">
        <v>119</v>
      </c>
      <c r="E91" s="8">
        <v>1534000</v>
      </c>
      <c r="F91" s="8">
        <v>1534000</v>
      </c>
      <c r="G91" s="9"/>
      <c r="H91" s="21"/>
      <c r="I91" s="35">
        <v>705309.6</v>
      </c>
      <c r="J91" s="89">
        <v>828690.4</v>
      </c>
      <c r="K91" s="27">
        <f t="shared" si="1"/>
        <v>1534000</v>
      </c>
      <c r="L91" s="66"/>
    </row>
    <row r="92" spans="1:12">
      <c r="A92" t="s">
        <v>12</v>
      </c>
      <c r="B92" s="51">
        <v>1012071353</v>
      </c>
      <c r="C92" s="46">
        <v>7300059730</v>
      </c>
      <c r="D92" s="46" t="s">
        <v>120</v>
      </c>
      <c r="E92" s="123">
        <v>432306</v>
      </c>
      <c r="F92" s="8">
        <v>310878</v>
      </c>
      <c r="G92" s="9"/>
      <c r="H92" s="21"/>
      <c r="I92" s="35">
        <v>60469.11</v>
      </c>
      <c r="J92" s="36">
        <v>293281.13207547169</v>
      </c>
      <c r="K92" s="27">
        <f t="shared" si="1"/>
        <v>353750.24207547167</v>
      </c>
      <c r="L92" s="66"/>
    </row>
    <row r="93" spans="1:12">
      <c r="A93" t="s">
        <v>12</v>
      </c>
      <c r="B93" s="51">
        <v>1012071353</v>
      </c>
      <c r="C93" s="46">
        <v>7300058394</v>
      </c>
      <c r="D93" s="46" t="s">
        <v>121</v>
      </c>
      <c r="E93" s="123"/>
      <c r="F93" s="8">
        <v>69879.600000000006</v>
      </c>
      <c r="G93" s="9"/>
      <c r="H93" s="21"/>
      <c r="I93" s="35">
        <v>59095.71</v>
      </c>
      <c r="J93" s="36">
        <v>0</v>
      </c>
      <c r="K93" s="27">
        <f t="shared" si="1"/>
        <v>59095.71</v>
      </c>
      <c r="L93" s="66"/>
    </row>
    <row r="94" spans="1:12">
      <c r="A94" t="s">
        <v>19</v>
      </c>
      <c r="B94" s="51">
        <v>1012076650</v>
      </c>
      <c r="C94" s="46">
        <v>7300058154</v>
      </c>
      <c r="D94" s="46" t="s">
        <v>122</v>
      </c>
      <c r="E94" s="8">
        <v>13309.14</v>
      </c>
      <c r="F94" s="8">
        <v>13309.14</v>
      </c>
      <c r="G94" s="9"/>
      <c r="H94" s="21"/>
      <c r="I94" s="35">
        <v>13309.14</v>
      </c>
      <c r="J94" s="36"/>
      <c r="K94" s="27">
        <f t="shared" si="1"/>
        <v>13309.14</v>
      </c>
      <c r="L94" s="66"/>
    </row>
    <row r="95" spans="1:12">
      <c r="A95" t="s">
        <v>19</v>
      </c>
      <c r="B95" s="51">
        <v>1012076643</v>
      </c>
      <c r="C95" s="46">
        <v>7300058155</v>
      </c>
      <c r="D95" s="46" t="s">
        <v>123</v>
      </c>
      <c r="E95" s="8">
        <v>2469.6</v>
      </c>
      <c r="F95" s="8">
        <v>2469.6</v>
      </c>
      <c r="G95" s="9"/>
      <c r="H95" s="21"/>
      <c r="I95" s="35">
        <v>2469.6</v>
      </c>
      <c r="J95" s="36"/>
      <c r="K95" s="27">
        <f t="shared" si="1"/>
        <v>2469.6</v>
      </c>
      <c r="L95" s="66"/>
    </row>
    <row r="96" spans="1:12">
      <c r="A96" t="s">
        <v>124</v>
      </c>
      <c r="B96" s="51" t="s">
        <v>105</v>
      </c>
      <c r="C96" s="46"/>
      <c r="D96" s="46" t="s">
        <v>125</v>
      </c>
      <c r="E96" s="12">
        <v>1788740</v>
      </c>
      <c r="F96" s="8"/>
      <c r="G96" s="9"/>
      <c r="H96" s="21"/>
      <c r="I96" s="35">
        <v>501380</v>
      </c>
      <c r="J96" s="36"/>
      <c r="K96" s="27">
        <f t="shared" si="1"/>
        <v>501380</v>
      </c>
      <c r="L96" s="66"/>
    </row>
    <row r="97" spans="1:12">
      <c r="A97" t="s">
        <v>24</v>
      </c>
      <c r="B97" s="51">
        <v>1012113972</v>
      </c>
      <c r="C97" s="46">
        <v>7300058985</v>
      </c>
      <c r="D97" s="46" t="s">
        <v>126</v>
      </c>
      <c r="E97" s="8">
        <v>1398060.5</v>
      </c>
      <c r="F97" s="8">
        <v>1343135.28</v>
      </c>
      <c r="G97" s="9"/>
      <c r="H97" s="21"/>
      <c r="I97" s="35">
        <v>474126.76</v>
      </c>
      <c r="J97" s="36">
        <v>869000</v>
      </c>
      <c r="K97" s="27">
        <f t="shared" si="1"/>
        <v>1343126.76</v>
      </c>
      <c r="L97" s="66"/>
    </row>
    <row r="98" spans="1:12">
      <c r="A98" t="s">
        <v>127</v>
      </c>
      <c r="B98" s="51">
        <v>1012116136</v>
      </c>
      <c r="C98" s="46">
        <v>7300058949</v>
      </c>
      <c r="D98" s="46" t="s">
        <v>128</v>
      </c>
      <c r="E98" s="2">
        <v>60000</v>
      </c>
      <c r="F98" s="2">
        <v>60000</v>
      </c>
      <c r="G98" s="3"/>
      <c r="H98" s="19"/>
      <c r="I98" s="62">
        <v>60000</v>
      </c>
      <c r="J98" s="31">
        <v>-6902.654867256635</v>
      </c>
      <c r="K98" s="27">
        <f t="shared" si="1"/>
        <v>53097.345132743365</v>
      </c>
      <c r="L98" s="66"/>
    </row>
    <row r="99" spans="1:12">
      <c r="B99" s="51"/>
      <c r="C99" s="46"/>
      <c r="D99" s="46" t="s">
        <v>129</v>
      </c>
      <c r="E99" s="2">
        <v>6201</v>
      </c>
      <c r="F99" s="2"/>
      <c r="G99" s="3"/>
      <c r="H99" s="19"/>
      <c r="I99" s="30"/>
      <c r="J99" s="31"/>
      <c r="K99" s="27">
        <f t="shared" si="1"/>
        <v>0</v>
      </c>
      <c r="L99" s="66"/>
    </row>
    <row r="100" spans="1:12">
      <c r="A100" t="s">
        <v>24</v>
      </c>
      <c r="B100" s="51">
        <v>1012121838</v>
      </c>
      <c r="C100" s="46">
        <v>7300058934</v>
      </c>
      <c r="D100" s="46" t="s">
        <v>130</v>
      </c>
      <c r="E100" s="2">
        <v>9600</v>
      </c>
      <c r="F100" s="2">
        <v>9600</v>
      </c>
      <c r="G100" s="3"/>
      <c r="H100" s="19"/>
      <c r="I100" s="62">
        <v>9600</v>
      </c>
      <c r="J100" s="31">
        <v>0</v>
      </c>
      <c r="K100" s="27">
        <f t="shared" si="1"/>
        <v>9600</v>
      </c>
      <c r="L100" s="66"/>
    </row>
    <row r="101" spans="1:12">
      <c r="A101" t="s">
        <v>16</v>
      </c>
      <c r="B101" s="51">
        <v>1012121548</v>
      </c>
      <c r="C101" s="46">
        <v>7300059014</v>
      </c>
      <c r="D101" s="46" t="s">
        <v>131</v>
      </c>
      <c r="E101" s="2">
        <v>530000</v>
      </c>
      <c r="F101" s="2">
        <v>250388</v>
      </c>
      <c r="G101" s="3"/>
      <c r="H101" s="19"/>
      <c r="I101" s="62">
        <v>250388</v>
      </c>
      <c r="J101" s="31">
        <v>0</v>
      </c>
      <c r="K101" s="27">
        <f t="shared" si="1"/>
        <v>250388</v>
      </c>
      <c r="L101" s="66" t="s">
        <v>132</v>
      </c>
    </row>
    <row r="102" spans="1:12">
      <c r="A102" t="s">
        <v>19</v>
      </c>
      <c r="B102" s="51" t="s">
        <v>133</v>
      </c>
      <c r="C102" s="46"/>
      <c r="D102" s="46" t="s">
        <v>134</v>
      </c>
      <c r="E102" s="2">
        <v>847500</v>
      </c>
      <c r="F102" s="2"/>
      <c r="G102" s="3"/>
      <c r="H102" s="19"/>
      <c r="I102" s="30"/>
      <c r="J102" s="31"/>
      <c r="K102" s="27">
        <f t="shared" si="1"/>
        <v>0</v>
      </c>
      <c r="L102" s="66"/>
    </row>
    <row r="103" spans="1:12">
      <c r="A103" t="s">
        <v>135</v>
      </c>
      <c r="B103" s="51">
        <v>1012148256</v>
      </c>
      <c r="C103" s="46">
        <v>7300059056</v>
      </c>
      <c r="D103" s="46" t="s">
        <v>136</v>
      </c>
      <c r="E103" s="2">
        <v>928.03</v>
      </c>
      <c r="F103" s="2">
        <v>928.03</v>
      </c>
      <c r="G103" s="3"/>
      <c r="H103" s="19"/>
      <c r="I103" s="62">
        <v>875.5</v>
      </c>
      <c r="J103" s="31">
        <v>0</v>
      </c>
      <c r="K103" s="27">
        <f t="shared" si="1"/>
        <v>875.5</v>
      </c>
      <c r="L103" s="66"/>
    </row>
    <row r="104" spans="1:12">
      <c r="A104" t="s">
        <v>124</v>
      </c>
      <c r="B104" s="51">
        <v>1012157157</v>
      </c>
      <c r="C104" s="46">
        <v>7300059090</v>
      </c>
      <c r="D104" s="46" t="s">
        <v>137</v>
      </c>
      <c r="E104" s="2">
        <v>55853</v>
      </c>
      <c r="F104" s="2">
        <v>55853</v>
      </c>
      <c r="G104" s="3"/>
      <c r="H104" s="19"/>
      <c r="I104" s="62">
        <v>55300</v>
      </c>
      <c r="J104" s="31"/>
      <c r="K104" s="27">
        <f t="shared" si="1"/>
        <v>55300</v>
      </c>
      <c r="L104" s="66"/>
    </row>
    <row r="105" spans="1:12">
      <c r="A105" t="s">
        <v>12</v>
      </c>
      <c r="B105" s="51">
        <v>1012207186</v>
      </c>
      <c r="C105" s="46">
        <v>7300059230</v>
      </c>
      <c r="D105" s="46" t="s">
        <v>138</v>
      </c>
      <c r="E105" s="2">
        <v>13858.32</v>
      </c>
      <c r="F105" s="2">
        <v>13858.32</v>
      </c>
      <c r="G105" s="3"/>
      <c r="H105" s="19"/>
      <c r="I105" s="30">
        <v>13858.32</v>
      </c>
      <c r="J105" s="31">
        <v>0</v>
      </c>
      <c r="K105" s="27">
        <f t="shared" si="1"/>
        <v>13858.32</v>
      </c>
      <c r="L105" s="66"/>
    </row>
    <row r="106" spans="1:12">
      <c r="A106" t="s">
        <v>19</v>
      </c>
      <c r="B106" s="52">
        <v>1012178910</v>
      </c>
      <c r="C106" s="53">
        <v>7300059231</v>
      </c>
      <c r="D106" s="46" t="s">
        <v>139</v>
      </c>
      <c r="E106" s="2">
        <v>5650</v>
      </c>
      <c r="F106" s="2">
        <v>5650</v>
      </c>
      <c r="G106" s="3"/>
      <c r="H106" s="19"/>
      <c r="I106" s="62">
        <v>5000</v>
      </c>
      <c r="J106" s="31"/>
      <c r="K106" s="27">
        <f t="shared" si="1"/>
        <v>5000</v>
      </c>
      <c r="L106" s="66"/>
    </row>
    <row r="107" spans="1:12">
      <c r="A107" t="s">
        <v>19</v>
      </c>
      <c r="B107" s="51">
        <v>1012178891</v>
      </c>
      <c r="C107" s="46">
        <v>7300059292</v>
      </c>
      <c r="D107" s="46" t="s">
        <v>140</v>
      </c>
      <c r="E107" s="8">
        <v>65968.5</v>
      </c>
      <c r="F107" s="8"/>
      <c r="G107" s="9"/>
      <c r="H107" s="21"/>
      <c r="I107" s="35"/>
      <c r="J107" s="36"/>
      <c r="K107" s="27">
        <f t="shared" si="1"/>
        <v>0</v>
      </c>
      <c r="L107" s="66"/>
    </row>
    <row r="108" spans="1:12">
      <c r="A108" t="s">
        <v>16</v>
      </c>
      <c r="B108" s="50">
        <v>1012178950</v>
      </c>
      <c r="C108" s="46"/>
      <c r="D108" s="46" t="s">
        <v>141</v>
      </c>
      <c r="E108" s="8">
        <v>864006</v>
      </c>
      <c r="F108" s="8"/>
      <c r="G108" s="9"/>
      <c r="H108" s="21"/>
      <c r="I108" s="35"/>
      <c r="J108" s="36">
        <v>0</v>
      </c>
      <c r="K108" s="27">
        <f t="shared" si="1"/>
        <v>0</v>
      </c>
      <c r="L108" s="66" t="s">
        <v>142</v>
      </c>
    </row>
    <row r="109" spans="1:12">
      <c r="A109" t="s">
        <v>19</v>
      </c>
      <c r="B109" s="51" t="s">
        <v>105</v>
      </c>
      <c r="C109" s="46" t="s">
        <v>143</v>
      </c>
      <c r="D109" s="46" t="s">
        <v>144</v>
      </c>
      <c r="E109" s="8">
        <v>12881.67</v>
      </c>
      <c r="F109" s="8"/>
      <c r="G109" s="9"/>
      <c r="H109" s="21"/>
      <c r="I109" s="35"/>
      <c r="J109" s="36"/>
      <c r="K109" s="27">
        <f t="shared" si="1"/>
        <v>0</v>
      </c>
      <c r="L109" s="66"/>
    </row>
    <row r="110" spans="1:12">
      <c r="A110" t="s">
        <v>124</v>
      </c>
      <c r="B110" s="51"/>
      <c r="C110" s="46" t="s">
        <v>145</v>
      </c>
      <c r="D110" s="46" t="s">
        <v>146</v>
      </c>
      <c r="E110" s="8"/>
      <c r="F110" s="8">
        <v>244860</v>
      </c>
      <c r="G110" s="9"/>
      <c r="H110" s="21"/>
      <c r="I110" s="35"/>
      <c r="J110" s="36"/>
      <c r="K110" s="27">
        <f t="shared" si="1"/>
        <v>0</v>
      </c>
      <c r="L110" s="66"/>
    </row>
    <row r="111" spans="1:12">
      <c r="A111" t="s">
        <v>12</v>
      </c>
      <c r="B111" s="51">
        <v>1012264474</v>
      </c>
      <c r="C111" s="46">
        <v>7300059616</v>
      </c>
      <c r="D111" s="46" t="s">
        <v>147</v>
      </c>
      <c r="E111" s="8">
        <v>1780.88</v>
      </c>
      <c r="F111" s="8">
        <v>1780.88</v>
      </c>
      <c r="G111" s="3"/>
      <c r="H111" s="22"/>
      <c r="I111" s="37">
        <v>1780.88</v>
      </c>
      <c r="J111" s="38">
        <v>0</v>
      </c>
      <c r="K111" s="27">
        <f t="shared" si="1"/>
        <v>1780.88</v>
      </c>
      <c r="L111" s="66"/>
    </row>
    <row r="112" spans="1:12">
      <c r="A112" t="s">
        <v>12</v>
      </c>
      <c r="B112" s="51">
        <v>1012256337</v>
      </c>
      <c r="C112" s="46">
        <v>7300059623</v>
      </c>
      <c r="D112" s="46" t="s">
        <v>148</v>
      </c>
      <c r="E112" s="8">
        <v>17766</v>
      </c>
      <c r="F112" s="8">
        <v>17766</v>
      </c>
      <c r="G112" s="9"/>
      <c r="H112" s="21"/>
      <c r="I112" s="35"/>
      <c r="J112" s="36">
        <v>0</v>
      </c>
      <c r="K112" s="27">
        <f t="shared" si="1"/>
        <v>0</v>
      </c>
      <c r="L112" s="66"/>
    </row>
    <row r="113" spans="1:12">
      <c r="A113" t="s">
        <v>19</v>
      </c>
      <c r="B113" s="51">
        <v>1012176900</v>
      </c>
      <c r="C113" s="39">
        <v>7300060816</v>
      </c>
      <c r="D113" s="46" t="s">
        <v>149</v>
      </c>
      <c r="E113" s="8">
        <v>1069556.3</v>
      </c>
      <c r="F113" s="8">
        <v>1014457.5</v>
      </c>
      <c r="G113" s="9"/>
      <c r="H113" s="21"/>
      <c r="I113" s="35"/>
      <c r="J113" s="36"/>
      <c r="K113" s="27">
        <f t="shared" si="1"/>
        <v>0</v>
      </c>
      <c r="L113" s="66"/>
    </row>
    <row r="114" spans="1:12">
      <c r="A114" t="s">
        <v>24</v>
      </c>
      <c r="B114" s="51">
        <v>1012287697</v>
      </c>
      <c r="C114" s="46">
        <v>7300059744</v>
      </c>
      <c r="D114" s="46" t="s">
        <v>150</v>
      </c>
      <c r="E114" s="8">
        <v>48972</v>
      </c>
      <c r="F114" s="8">
        <v>48972</v>
      </c>
      <c r="G114" s="9"/>
      <c r="H114" s="21"/>
      <c r="I114" s="35">
        <v>28991.42</v>
      </c>
      <c r="J114" s="36">
        <v>5000</v>
      </c>
      <c r="K114" s="27">
        <f t="shared" si="1"/>
        <v>33991.42</v>
      </c>
      <c r="L114" s="66"/>
    </row>
    <row r="115" spans="1:12">
      <c r="A115" t="s">
        <v>151</v>
      </c>
      <c r="B115" s="51">
        <v>1012287272</v>
      </c>
      <c r="C115" s="46">
        <v>7300059745</v>
      </c>
      <c r="D115" s="46" t="s">
        <v>152</v>
      </c>
      <c r="E115" s="8">
        <v>24636.959999999999</v>
      </c>
      <c r="F115" s="8">
        <v>24636.959999999999</v>
      </c>
      <c r="G115" s="9"/>
      <c r="H115" s="21"/>
      <c r="I115" s="62">
        <v>7124.19</v>
      </c>
      <c r="J115" s="36"/>
      <c r="K115" s="27">
        <f t="shared" si="1"/>
        <v>7124.19</v>
      </c>
      <c r="L115" s="66"/>
    </row>
    <row r="116" spans="1:12">
      <c r="A116" t="s">
        <v>19</v>
      </c>
      <c r="B116" s="51">
        <v>1012290774</v>
      </c>
      <c r="C116" s="46">
        <v>7300059850</v>
      </c>
      <c r="D116" s="46" t="s">
        <v>153</v>
      </c>
      <c r="E116" s="8">
        <v>50442.559999999998</v>
      </c>
      <c r="F116" s="8">
        <v>50442.559999999998</v>
      </c>
      <c r="G116" s="9"/>
      <c r="H116" s="21"/>
      <c r="I116" s="8">
        <v>50442.559999999998</v>
      </c>
      <c r="J116" s="36"/>
      <c r="K116" s="27">
        <f t="shared" si="1"/>
        <v>50442.559999999998</v>
      </c>
      <c r="L116" s="66"/>
    </row>
    <row r="117" spans="1:12">
      <c r="A117" t="s">
        <v>151</v>
      </c>
      <c r="B117" s="51">
        <v>1012290782</v>
      </c>
      <c r="C117" s="46">
        <v>7300060302</v>
      </c>
      <c r="D117" s="46" t="s">
        <v>154</v>
      </c>
      <c r="E117" s="8">
        <v>211999.08</v>
      </c>
      <c r="F117" s="8">
        <v>211999.08</v>
      </c>
      <c r="G117" s="9"/>
      <c r="H117" s="21"/>
      <c r="I117" s="62">
        <v>48155.73</v>
      </c>
      <c r="J117" s="36">
        <v>151843.40207547168</v>
      </c>
      <c r="K117" s="27">
        <f t="shared" si="1"/>
        <v>199999.13207547169</v>
      </c>
      <c r="L117" s="66"/>
    </row>
    <row r="118" spans="1:12">
      <c r="A118" t="s">
        <v>155</v>
      </c>
      <c r="B118" s="51">
        <v>1012288036</v>
      </c>
      <c r="C118" s="46">
        <v>7300059850</v>
      </c>
      <c r="D118" s="46" t="s">
        <v>156</v>
      </c>
      <c r="E118" s="8">
        <v>268445.42</v>
      </c>
      <c r="F118" s="8">
        <v>295492.19</v>
      </c>
      <c r="G118" s="9"/>
      <c r="H118" s="21"/>
      <c r="I118" s="35">
        <f>168350.98-I116</f>
        <v>117908.42000000001</v>
      </c>
      <c r="J118" s="36"/>
      <c r="K118" s="27">
        <f t="shared" si="1"/>
        <v>117908.42000000001</v>
      </c>
      <c r="L118" s="66"/>
    </row>
    <row r="119" spans="1:12">
      <c r="A119" t="s">
        <v>19</v>
      </c>
      <c r="B119" s="51">
        <v>1012298868</v>
      </c>
      <c r="C119" s="46">
        <v>7300059817</v>
      </c>
      <c r="D119" s="46" t="s">
        <v>157</v>
      </c>
      <c r="E119" s="8">
        <v>2416.6</v>
      </c>
      <c r="F119" s="8">
        <v>2416.6</v>
      </c>
      <c r="G119" s="9"/>
      <c r="H119" s="21"/>
      <c r="I119" s="35">
        <v>2416.6</v>
      </c>
      <c r="J119" s="36"/>
      <c r="K119" s="27">
        <f t="shared" si="1"/>
        <v>2416.6</v>
      </c>
      <c r="L119" s="66"/>
    </row>
    <row r="120" spans="1:12">
      <c r="A120" t="s">
        <v>151</v>
      </c>
      <c r="B120" s="51">
        <v>1012307612</v>
      </c>
      <c r="C120" s="46">
        <v>7300059980</v>
      </c>
      <c r="D120" s="46" t="s">
        <v>158</v>
      </c>
      <c r="E120" s="8">
        <v>22506</v>
      </c>
      <c r="F120" s="8">
        <v>22506</v>
      </c>
      <c r="G120" s="9"/>
      <c r="H120" s="21"/>
      <c r="I120" s="35"/>
      <c r="J120" s="36"/>
      <c r="K120" s="27">
        <f t="shared" si="1"/>
        <v>0</v>
      </c>
      <c r="L120" s="66"/>
    </row>
    <row r="121" spans="1:12">
      <c r="A121" t="s">
        <v>151</v>
      </c>
      <c r="B121" s="51">
        <v>1012295268</v>
      </c>
      <c r="C121" s="46">
        <v>7300059840</v>
      </c>
      <c r="D121" s="46" t="s">
        <v>159</v>
      </c>
      <c r="E121" s="8">
        <v>14910</v>
      </c>
      <c r="F121" s="8">
        <v>14910</v>
      </c>
      <c r="G121" s="9"/>
      <c r="H121" s="21"/>
      <c r="I121" s="62">
        <v>5267.5</v>
      </c>
      <c r="J121" s="36"/>
      <c r="K121" s="27">
        <f t="shared" si="1"/>
        <v>5267.5</v>
      </c>
      <c r="L121" s="66"/>
    </row>
    <row r="122" spans="1:12">
      <c r="A122" t="s">
        <v>151</v>
      </c>
      <c r="B122" s="51">
        <v>1012295221</v>
      </c>
      <c r="C122" s="46">
        <v>7300059839</v>
      </c>
      <c r="D122" s="46" t="s">
        <v>160</v>
      </c>
      <c r="E122" s="8">
        <v>9332.4</v>
      </c>
      <c r="F122" s="8">
        <v>9332.4</v>
      </c>
      <c r="G122" s="9"/>
      <c r="H122" s="21"/>
      <c r="I122" s="62">
        <v>1791.81</v>
      </c>
      <c r="J122" s="36"/>
      <c r="K122" s="27">
        <f t="shared" si="1"/>
        <v>1791.81</v>
      </c>
      <c r="L122" s="66"/>
    </row>
    <row r="123" spans="1:12">
      <c r="A123" t="s">
        <v>12</v>
      </c>
      <c r="B123" s="51">
        <v>1012320274</v>
      </c>
      <c r="C123" s="46">
        <v>7300059892</v>
      </c>
      <c r="D123" s="46" t="s">
        <v>161</v>
      </c>
      <c r="E123" s="8">
        <v>3236.14</v>
      </c>
      <c r="F123" s="8">
        <v>3236.14</v>
      </c>
      <c r="G123" s="9"/>
      <c r="H123" s="21"/>
      <c r="I123" s="62">
        <v>3236.14</v>
      </c>
      <c r="J123" s="36">
        <v>0</v>
      </c>
      <c r="K123" s="27">
        <f t="shared" si="1"/>
        <v>3236.14</v>
      </c>
      <c r="L123" s="66"/>
    </row>
    <row r="124" spans="1:12">
      <c r="A124" t="s">
        <v>151</v>
      </c>
      <c r="B124" s="51">
        <v>1012316444</v>
      </c>
      <c r="C124" s="46">
        <v>7300059933</v>
      </c>
      <c r="D124" s="46" t="s">
        <v>162</v>
      </c>
      <c r="E124" s="8">
        <v>1111.1500000000001</v>
      </c>
      <c r="F124" s="8">
        <v>1111.1500000000001</v>
      </c>
      <c r="G124" s="9"/>
      <c r="H124" s="21"/>
      <c r="I124" s="62">
        <v>1111.1500000000001</v>
      </c>
      <c r="J124" s="36"/>
      <c r="K124" s="27">
        <f t="shared" si="1"/>
        <v>1111.1500000000001</v>
      </c>
      <c r="L124" s="66"/>
    </row>
    <row r="125" spans="1:12">
      <c r="A125" t="s">
        <v>151</v>
      </c>
      <c r="B125" s="51">
        <v>1012319786</v>
      </c>
      <c r="C125" s="46">
        <v>7300059962</v>
      </c>
      <c r="D125" s="46" t="s">
        <v>163</v>
      </c>
      <c r="E125" s="8">
        <v>37877.31</v>
      </c>
      <c r="F125" s="8">
        <v>37877.31</v>
      </c>
      <c r="G125" s="9"/>
      <c r="H125" s="21"/>
      <c r="I125" s="35"/>
      <c r="J125" s="36"/>
      <c r="K125" s="27">
        <f t="shared" si="1"/>
        <v>0</v>
      </c>
      <c r="L125" s="66"/>
    </row>
    <row r="126" spans="1:12">
      <c r="A126" t="s">
        <v>124</v>
      </c>
      <c r="B126" s="51" t="s">
        <v>105</v>
      </c>
      <c r="C126" s="46" t="s">
        <v>164</v>
      </c>
      <c r="D126" s="46" t="s">
        <v>165</v>
      </c>
      <c r="E126" s="8">
        <v>174900</v>
      </c>
      <c r="F126" s="8"/>
      <c r="G126" s="9"/>
      <c r="H126" s="21"/>
      <c r="I126" s="62">
        <v>165000</v>
      </c>
      <c r="J126" s="36"/>
      <c r="K126" s="27">
        <f t="shared" si="1"/>
        <v>165000</v>
      </c>
      <c r="L126" s="66"/>
    </row>
    <row r="127" spans="1:12">
      <c r="A127" t="s">
        <v>16</v>
      </c>
      <c r="B127" s="51">
        <v>1012331724</v>
      </c>
      <c r="C127" s="46">
        <v>7300060182</v>
      </c>
      <c r="D127" s="46" t="s">
        <v>166</v>
      </c>
      <c r="E127" s="8">
        <v>12209.14</v>
      </c>
      <c r="F127" s="8">
        <v>12209.14</v>
      </c>
      <c r="G127" s="9"/>
      <c r="H127" s="21"/>
      <c r="I127" s="35">
        <v>12209.14</v>
      </c>
      <c r="J127" s="36">
        <v>0</v>
      </c>
      <c r="K127" s="27">
        <f t="shared" si="1"/>
        <v>12209.14</v>
      </c>
      <c r="L127" s="66" t="s">
        <v>132</v>
      </c>
    </row>
    <row r="128" spans="1:12">
      <c r="A128" t="s">
        <v>151</v>
      </c>
      <c r="B128" s="51">
        <v>1012323459</v>
      </c>
      <c r="C128" s="46">
        <v>7300060526</v>
      </c>
      <c r="D128" s="46" t="s">
        <v>167</v>
      </c>
      <c r="E128" s="8">
        <v>1692.76</v>
      </c>
      <c r="F128" s="8">
        <v>1692.76</v>
      </c>
      <c r="G128" s="9"/>
      <c r="H128" s="21"/>
      <c r="I128" s="62">
        <v>1692.76</v>
      </c>
      <c r="J128" s="36"/>
      <c r="K128" s="27">
        <f t="shared" si="1"/>
        <v>1692.76</v>
      </c>
      <c r="L128" s="66"/>
    </row>
    <row r="129" spans="1:12">
      <c r="A129" t="s">
        <v>124</v>
      </c>
      <c r="B129" s="51" t="s">
        <v>105</v>
      </c>
      <c r="C129" s="46" t="s">
        <v>168</v>
      </c>
      <c r="D129" s="46" t="s">
        <v>169</v>
      </c>
      <c r="E129" s="8">
        <v>69960</v>
      </c>
      <c r="F129" s="8"/>
      <c r="G129" s="9"/>
      <c r="H129" s="21"/>
      <c r="I129" s="62">
        <v>66000</v>
      </c>
      <c r="J129" s="36"/>
      <c r="K129" s="27">
        <f t="shared" ref="K129:K194" si="2">I129+J129-H129</f>
        <v>66000</v>
      </c>
      <c r="L129" s="66"/>
    </row>
    <row r="130" spans="1:12">
      <c r="A130" t="s">
        <v>151</v>
      </c>
      <c r="B130" s="51">
        <v>1012339789</v>
      </c>
      <c r="C130" s="46">
        <v>7300060421</v>
      </c>
      <c r="D130" s="46" t="s">
        <v>170</v>
      </c>
      <c r="E130" s="8">
        <v>32447.759999999998</v>
      </c>
      <c r="F130" s="8">
        <v>32447.759999999998</v>
      </c>
      <c r="G130" s="9"/>
      <c r="H130" s="21"/>
      <c r="I130" s="62">
        <v>29851.94</v>
      </c>
      <c r="J130" s="36"/>
      <c r="K130" s="27">
        <f t="shared" si="2"/>
        <v>29851.94</v>
      </c>
      <c r="L130" s="66"/>
    </row>
    <row r="131" spans="1:12">
      <c r="A131" t="s">
        <v>32</v>
      </c>
      <c r="B131" s="51">
        <v>1012335355</v>
      </c>
      <c r="C131" s="46"/>
      <c r="D131" s="46" t="s">
        <v>171</v>
      </c>
      <c r="E131" s="8">
        <v>900000</v>
      </c>
      <c r="F131" s="8"/>
      <c r="G131" s="9"/>
      <c r="H131" s="21"/>
      <c r="I131" s="35"/>
      <c r="J131" s="36">
        <v>0</v>
      </c>
      <c r="K131" s="27">
        <f t="shared" si="2"/>
        <v>0</v>
      </c>
      <c r="L131" s="66" t="s">
        <v>172</v>
      </c>
    </row>
    <row r="132" spans="1:12">
      <c r="A132" t="s">
        <v>19</v>
      </c>
      <c r="B132" s="51" t="s">
        <v>133</v>
      </c>
      <c r="C132" s="46" t="s">
        <v>173</v>
      </c>
      <c r="D132" s="46" t="s">
        <v>174</v>
      </c>
      <c r="E132" s="8">
        <v>9765.59</v>
      </c>
      <c r="F132" s="8"/>
      <c r="G132" s="9"/>
      <c r="H132" s="21"/>
      <c r="I132" s="35"/>
      <c r="J132" s="36"/>
      <c r="K132" s="27">
        <f t="shared" si="2"/>
        <v>0</v>
      </c>
      <c r="L132" s="66"/>
    </row>
    <row r="133" spans="1:12">
      <c r="A133" t="s">
        <v>16</v>
      </c>
      <c r="B133" s="43">
        <v>1012375831</v>
      </c>
      <c r="C133" s="46"/>
      <c r="D133" s="86" t="s">
        <v>175</v>
      </c>
      <c r="E133" s="8">
        <v>6993231</v>
      </c>
      <c r="F133" s="8"/>
      <c r="G133" s="9"/>
      <c r="H133" s="21"/>
      <c r="I133" s="35"/>
      <c r="J133" s="36">
        <v>6000000</v>
      </c>
      <c r="K133" s="27">
        <f t="shared" si="2"/>
        <v>6000000</v>
      </c>
      <c r="L133" s="66" t="s">
        <v>103</v>
      </c>
    </row>
    <row r="134" spans="1:12">
      <c r="A134" t="s">
        <v>176</v>
      </c>
      <c r="B134" s="43">
        <v>1012386652</v>
      </c>
      <c r="C134" s="46">
        <v>7300060532</v>
      </c>
      <c r="D134" s="54" t="s">
        <v>177</v>
      </c>
      <c r="E134" s="8">
        <v>3992.24</v>
      </c>
      <c r="F134" s="8">
        <v>3992.24</v>
      </c>
      <c r="G134" s="9"/>
      <c r="H134" s="21"/>
      <c r="I134" s="35">
        <v>3992.24</v>
      </c>
      <c r="J134" s="36">
        <v>0</v>
      </c>
      <c r="K134" s="27">
        <f t="shared" si="2"/>
        <v>3992.24</v>
      </c>
      <c r="L134" s="66"/>
    </row>
    <row r="135" spans="1:12">
      <c r="A135" t="s">
        <v>178</v>
      </c>
      <c r="B135" s="43">
        <v>1012386721</v>
      </c>
      <c r="C135" s="46">
        <v>7300060575</v>
      </c>
      <c r="D135" s="54" t="s">
        <v>179</v>
      </c>
      <c r="E135" s="8">
        <v>33900</v>
      </c>
      <c r="F135" s="8">
        <v>33900</v>
      </c>
      <c r="G135" s="9"/>
      <c r="H135" s="21"/>
      <c r="I135" s="35">
        <v>33900</v>
      </c>
      <c r="J135" s="36"/>
      <c r="K135" s="27">
        <f t="shared" si="2"/>
        <v>33900</v>
      </c>
      <c r="L135" s="66"/>
    </row>
    <row r="136" spans="1:12">
      <c r="A136" t="s">
        <v>178</v>
      </c>
      <c r="B136" s="43">
        <v>1012386721</v>
      </c>
      <c r="C136" s="46">
        <v>7300060575</v>
      </c>
      <c r="D136" s="54" t="s">
        <v>180</v>
      </c>
      <c r="E136" s="8">
        <v>33900</v>
      </c>
      <c r="F136" s="8">
        <v>33900</v>
      </c>
      <c r="G136" s="9"/>
      <c r="H136" s="21"/>
      <c r="I136" s="35">
        <v>33900</v>
      </c>
      <c r="J136" s="36"/>
      <c r="K136" s="27">
        <f t="shared" si="2"/>
        <v>33900</v>
      </c>
      <c r="L136" s="66"/>
    </row>
    <row r="137" spans="1:12">
      <c r="A137" t="s">
        <v>19</v>
      </c>
      <c r="B137" s="43">
        <v>1012387084</v>
      </c>
      <c r="C137" s="46">
        <v>7300060534</v>
      </c>
      <c r="D137" s="54" t="s">
        <v>181</v>
      </c>
      <c r="E137" s="8">
        <v>17354.330000000002</v>
      </c>
      <c r="F137" s="8">
        <v>17354.330000000002</v>
      </c>
      <c r="G137" s="9"/>
      <c r="H137" s="21"/>
      <c r="I137" s="35"/>
      <c r="J137" s="36"/>
      <c r="K137" s="27">
        <f t="shared" si="2"/>
        <v>0</v>
      </c>
      <c r="L137" s="66"/>
    </row>
    <row r="138" spans="1:12">
      <c r="A138" t="s">
        <v>80</v>
      </c>
      <c r="B138" s="43">
        <v>1012387122</v>
      </c>
      <c r="C138" s="46">
        <v>7300060528</v>
      </c>
      <c r="D138" s="54" t="s">
        <v>182</v>
      </c>
      <c r="E138" s="8">
        <v>15696</v>
      </c>
      <c r="F138" s="8">
        <v>15696</v>
      </c>
      <c r="G138" s="9"/>
      <c r="H138" s="21"/>
      <c r="I138" s="35">
        <v>13953.74</v>
      </c>
      <c r="J138" s="36">
        <v>0</v>
      </c>
      <c r="K138" s="27">
        <f t="shared" si="2"/>
        <v>13953.74</v>
      </c>
      <c r="L138" s="66"/>
    </row>
    <row r="139" spans="1:12">
      <c r="A139" t="s">
        <v>151</v>
      </c>
      <c r="B139" s="43">
        <v>1012391216</v>
      </c>
      <c r="C139" s="46">
        <v>7300060535</v>
      </c>
      <c r="D139" s="54" t="s">
        <v>183</v>
      </c>
      <c r="E139" s="8">
        <v>1643.59</v>
      </c>
      <c r="F139" s="8">
        <v>1643.59</v>
      </c>
      <c r="G139" s="9"/>
      <c r="H139" s="21"/>
      <c r="I139" s="35"/>
      <c r="J139" s="36"/>
      <c r="K139" s="27">
        <f t="shared" si="2"/>
        <v>0</v>
      </c>
      <c r="L139" s="66"/>
    </row>
    <row r="140" spans="1:12">
      <c r="A140" t="s">
        <v>151</v>
      </c>
      <c r="B140" s="43">
        <v>1012391329</v>
      </c>
      <c r="C140" s="46">
        <v>7300060529</v>
      </c>
      <c r="D140" s="54" t="s">
        <v>184</v>
      </c>
      <c r="E140" s="8">
        <v>15547.41</v>
      </c>
      <c r="F140" s="8">
        <v>15547.41</v>
      </c>
      <c r="G140" s="9"/>
      <c r="H140" s="21"/>
      <c r="I140" s="35"/>
      <c r="J140" s="36"/>
      <c r="K140" s="27">
        <f t="shared" si="2"/>
        <v>0</v>
      </c>
      <c r="L140" s="66"/>
    </row>
    <row r="141" spans="1:12">
      <c r="A141" t="s">
        <v>151</v>
      </c>
      <c r="B141" s="51">
        <v>1012354763</v>
      </c>
      <c r="C141" s="46">
        <v>7300060533</v>
      </c>
      <c r="D141" s="46" t="s">
        <v>185</v>
      </c>
      <c r="E141" s="8">
        <v>3736.11</v>
      </c>
      <c r="F141" s="8">
        <v>3736.11</v>
      </c>
      <c r="G141" s="9"/>
      <c r="H141" s="21"/>
      <c r="I141" s="62">
        <v>3736.11</v>
      </c>
      <c r="J141" s="36"/>
      <c r="K141" s="27">
        <f t="shared" si="2"/>
        <v>3736.11</v>
      </c>
      <c r="L141" s="66"/>
    </row>
    <row r="142" spans="1:12">
      <c r="A142" t="s">
        <v>24</v>
      </c>
      <c r="B142" s="51">
        <v>1012358257</v>
      </c>
      <c r="C142" s="39">
        <v>7300061396</v>
      </c>
      <c r="D142" s="57" t="s">
        <v>55</v>
      </c>
      <c r="E142" s="8">
        <v>6141004</v>
      </c>
      <c r="F142" s="8">
        <v>6141004</v>
      </c>
      <c r="G142" s="9"/>
      <c r="H142" s="21"/>
      <c r="I142" s="35"/>
      <c r="J142" s="36">
        <v>2000000</v>
      </c>
      <c r="K142" s="27">
        <f t="shared" si="2"/>
        <v>2000000</v>
      </c>
      <c r="L142" s="66"/>
    </row>
    <row r="143" spans="1:12">
      <c r="A143" t="s">
        <v>32</v>
      </c>
      <c r="B143" s="51">
        <v>1012358305</v>
      </c>
      <c r="C143" s="46"/>
      <c r="D143" s="57" t="s">
        <v>186</v>
      </c>
      <c r="E143" s="8">
        <v>190000</v>
      </c>
      <c r="F143" s="8"/>
      <c r="G143" s="9"/>
      <c r="H143" s="21"/>
      <c r="I143" s="35"/>
      <c r="J143" s="36">
        <v>0</v>
      </c>
      <c r="K143" s="27">
        <f t="shared" si="2"/>
        <v>0</v>
      </c>
      <c r="L143" s="66" t="s">
        <v>172</v>
      </c>
    </row>
    <row r="144" spans="1:12">
      <c r="B144" s="51" t="s">
        <v>187</v>
      </c>
      <c r="C144" s="46"/>
      <c r="D144" s="58" t="s">
        <v>188</v>
      </c>
      <c r="E144" s="8">
        <v>200000</v>
      </c>
      <c r="F144" s="8"/>
      <c r="G144" s="9"/>
      <c r="H144" s="21"/>
      <c r="I144" s="35"/>
      <c r="J144" s="36"/>
      <c r="K144" s="27">
        <f t="shared" si="2"/>
        <v>0</v>
      </c>
      <c r="L144" s="66"/>
    </row>
    <row r="145" spans="1:12">
      <c r="A145" t="s">
        <v>24</v>
      </c>
      <c r="B145" s="50">
        <v>1012412803</v>
      </c>
      <c r="C145" s="46"/>
      <c r="D145" s="46" t="s">
        <v>189</v>
      </c>
      <c r="E145" s="8">
        <v>678000</v>
      </c>
      <c r="F145" s="8"/>
      <c r="G145" s="9"/>
      <c r="H145" s="21"/>
      <c r="I145" s="35"/>
      <c r="J145" s="36">
        <v>0</v>
      </c>
      <c r="K145" s="27"/>
      <c r="L145" s="66" t="s">
        <v>264</v>
      </c>
    </row>
    <row r="146" spans="1:12">
      <c r="A146" t="s">
        <v>24</v>
      </c>
      <c r="B146" s="51">
        <v>1012412764</v>
      </c>
      <c r="C146" s="39">
        <v>7300061268</v>
      </c>
      <c r="D146" s="46" t="s">
        <v>190</v>
      </c>
      <c r="E146" s="8">
        <v>1890200</v>
      </c>
      <c r="F146" s="8">
        <v>1890200</v>
      </c>
      <c r="G146" s="9"/>
      <c r="H146" s="21"/>
      <c r="I146" s="40">
        <v>565169.80000000005</v>
      </c>
      <c r="J146" s="36">
        <v>700000</v>
      </c>
      <c r="K146" s="27">
        <f t="shared" si="2"/>
        <v>1265169.8</v>
      </c>
      <c r="L146" s="66"/>
    </row>
    <row r="147" spans="1:12">
      <c r="A147" t="s">
        <v>16</v>
      </c>
      <c r="B147" s="51">
        <v>1012401632</v>
      </c>
      <c r="C147" s="39">
        <v>7300061191</v>
      </c>
      <c r="D147" s="46" t="s">
        <v>191</v>
      </c>
      <c r="E147" s="8">
        <v>75000</v>
      </c>
      <c r="F147" s="8">
        <v>75000</v>
      </c>
      <c r="G147" s="9"/>
      <c r="H147" s="21"/>
      <c r="I147" s="35"/>
      <c r="J147" s="36">
        <v>0</v>
      </c>
      <c r="K147" s="27">
        <f t="shared" si="2"/>
        <v>0</v>
      </c>
      <c r="L147" s="66" t="s">
        <v>192</v>
      </c>
    </row>
    <row r="148" spans="1:12">
      <c r="A148" t="s">
        <v>124</v>
      </c>
      <c r="B148" s="51" t="s">
        <v>105</v>
      </c>
      <c r="C148" s="59" t="s">
        <v>193</v>
      </c>
      <c r="D148" s="46" t="s">
        <v>194</v>
      </c>
      <c r="E148" s="8">
        <v>221540</v>
      </c>
      <c r="F148" s="8"/>
      <c r="G148" s="9"/>
      <c r="H148" s="21"/>
      <c r="I148" s="35"/>
      <c r="J148" s="36"/>
      <c r="K148" s="27">
        <f t="shared" si="2"/>
        <v>0</v>
      </c>
      <c r="L148" s="66"/>
    </row>
    <row r="149" spans="1:12">
      <c r="A149" t="s">
        <v>19</v>
      </c>
      <c r="B149" s="51" t="s">
        <v>133</v>
      </c>
      <c r="C149" s="59" t="s">
        <v>195</v>
      </c>
      <c r="D149" s="46" t="s">
        <v>196</v>
      </c>
      <c r="E149" s="8">
        <v>34878.42</v>
      </c>
      <c r="F149" s="8"/>
      <c r="G149" s="9"/>
      <c r="H149" s="21"/>
      <c r="I149" s="35"/>
      <c r="J149" s="97"/>
      <c r="K149" s="27">
        <f t="shared" si="2"/>
        <v>0</v>
      </c>
      <c r="L149" s="66"/>
    </row>
    <row r="150" spans="1:12">
      <c r="A150" t="s">
        <v>197</v>
      </c>
      <c r="B150" s="51">
        <v>1012470598</v>
      </c>
      <c r="C150" s="39">
        <v>7300061120</v>
      </c>
      <c r="D150" s="46" t="s">
        <v>198</v>
      </c>
      <c r="E150" s="8">
        <v>1375</v>
      </c>
      <c r="F150" s="8">
        <v>1375</v>
      </c>
      <c r="G150" s="9"/>
      <c r="H150" s="21"/>
      <c r="I150" s="35"/>
      <c r="J150" s="36">
        <v>1375</v>
      </c>
      <c r="K150" s="27">
        <f t="shared" si="2"/>
        <v>1375</v>
      </c>
      <c r="L150" s="66"/>
    </row>
    <row r="151" spans="1:12" ht="14.5">
      <c r="A151" t="s">
        <v>16</v>
      </c>
      <c r="B151" s="51">
        <v>1012477785</v>
      </c>
      <c r="C151" s="39">
        <v>7300061331</v>
      </c>
      <c r="D151" s="85" t="s">
        <v>199</v>
      </c>
      <c r="E151" s="8">
        <v>64925</v>
      </c>
      <c r="F151" s="8">
        <v>64925</v>
      </c>
      <c r="G151" s="9"/>
      <c r="H151" s="21"/>
      <c r="I151" s="83"/>
      <c r="J151" s="99">
        <v>64925</v>
      </c>
      <c r="K151" s="27">
        <f t="shared" si="2"/>
        <v>64925</v>
      </c>
      <c r="L151" s="66" t="s">
        <v>72</v>
      </c>
    </row>
    <row r="152" spans="1:12">
      <c r="A152" t="s">
        <v>197</v>
      </c>
      <c r="B152" s="51">
        <v>1012463174</v>
      </c>
      <c r="C152" s="39">
        <v>7300061182</v>
      </c>
      <c r="D152" s="46" t="s">
        <v>200</v>
      </c>
      <c r="E152" s="8">
        <v>16650</v>
      </c>
      <c r="F152" s="8">
        <v>16650</v>
      </c>
      <c r="G152" s="9"/>
      <c r="H152" s="21"/>
      <c r="I152" s="35"/>
      <c r="J152" s="36">
        <v>16650</v>
      </c>
      <c r="K152" s="27">
        <f t="shared" si="2"/>
        <v>16650</v>
      </c>
      <c r="L152" s="66"/>
    </row>
    <row r="153" spans="1:12">
      <c r="A153" s="41" t="s">
        <v>12</v>
      </c>
      <c r="B153" s="51" t="s">
        <v>201</v>
      </c>
      <c r="C153" s="46"/>
      <c r="D153" s="46" t="s">
        <v>202</v>
      </c>
      <c r="E153" s="8">
        <v>101068.16</v>
      </c>
      <c r="F153" s="8">
        <v>101068.16</v>
      </c>
      <c r="G153" s="9"/>
      <c r="H153" s="21"/>
      <c r="I153" s="35"/>
      <c r="J153" s="98">
        <v>0</v>
      </c>
      <c r="K153" s="27">
        <f t="shared" si="2"/>
        <v>0</v>
      </c>
      <c r="L153" s="66"/>
    </row>
    <row r="154" spans="1:12">
      <c r="A154" t="s">
        <v>32</v>
      </c>
      <c r="B154" s="51">
        <v>1012493519</v>
      </c>
      <c r="C154" s="39">
        <v>7300062044</v>
      </c>
      <c r="D154" s="88" t="s">
        <v>203</v>
      </c>
      <c r="E154" s="8">
        <v>1047184.6</v>
      </c>
      <c r="F154" s="13">
        <v>1046883.13</v>
      </c>
      <c r="G154" s="9"/>
      <c r="H154" s="21"/>
      <c r="I154" s="35"/>
      <c r="J154" s="36">
        <v>527761.74</v>
      </c>
      <c r="K154" s="27">
        <f t="shared" si="2"/>
        <v>527761.74</v>
      </c>
      <c r="L154" s="66"/>
    </row>
    <row r="155" spans="1:12">
      <c r="A155" t="s">
        <v>197</v>
      </c>
      <c r="B155" s="51">
        <v>1012497915</v>
      </c>
      <c r="C155" s="39">
        <v>7300061314</v>
      </c>
      <c r="D155" s="46" t="s">
        <v>204</v>
      </c>
      <c r="E155" s="8">
        <v>49000</v>
      </c>
      <c r="F155" s="8">
        <v>49000</v>
      </c>
      <c r="G155" s="9"/>
      <c r="H155" s="21"/>
      <c r="I155" s="35"/>
      <c r="J155" s="36">
        <v>49000</v>
      </c>
      <c r="K155" s="27">
        <f t="shared" si="2"/>
        <v>49000</v>
      </c>
      <c r="L155" s="66"/>
    </row>
    <row r="156" spans="1:12">
      <c r="A156" t="s">
        <v>197</v>
      </c>
      <c r="B156" s="51">
        <v>1012504405</v>
      </c>
      <c r="C156" s="39">
        <v>7300061320</v>
      </c>
      <c r="D156" s="46" t="s">
        <v>205</v>
      </c>
      <c r="E156" s="8">
        <v>33316</v>
      </c>
      <c r="F156" s="8">
        <v>33316</v>
      </c>
      <c r="G156" s="9"/>
      <c r="H156" s="21"/>
      <c r="I156" s="35"/>
      <c r="J156" s="36">
        <v>33316</v>
      </c>
      <c r="K156" s="27">
        <f t="shared" si="2"/>
        <v>33316</v>
      </c>
      <c r="L156" s="66"/>
    </row>
    <row r="157" spans="1:12">
      <c r="A157" t="s">
        <v>197</v>
      </c>
      <c r="B157" s="51">
        <v>1012504407</v>
      </c>
      <c r="C157" s="39">
        <v>7300061322</v>
      </c>
      <c r="D157" s="46" t="s">
        <v>206</v>
      </c>
      <c r="E157" s="8">
        <v>22730</v>
      </c>
      <c r="F157" s="8">
        <v>22730</v>
      </c>
      <c r="G157" s="9"/>
      <c r="H157" s="21"/>
      <c r="I157" s="35"/>
      <c r="J157" s="36">
        <v>22730</v>
      </c>
      <c r="K157" s="27">
        <f t="shared" si="2"/>
        <v>22730</v>
      </c>
      <c r="L157" s="66"/>
    </row>
    <row r="158" spans="1:12">
      <c r="A158" t="s">
        <v>197</v>
      </c>
      <c r="B158" s="51">
        <v>1012490883</v>
      </c>
      <c r="C158" s="39">
        <v>7300061328</v>
      </c>
      <c r="D158" s="46" t="s">
        <v>207</v>
      </c>
      <c r="E158" s="8">
        <v>18126.7</v>
      </c>
      <c r="F158" s="8">
        <v>18126.7</v>
      </c>
      <c r="G158" s="9"/>
      <c r="H158" s="21"/>
      <c r="I158" s="35"/>
      <c r="J158" s="36">
        <v>18126.7</v>
      </c>
      <c r="K158" s="27">
        <f t="shared" si="2"/>
        <v>18126.7</v>
      </c>
      <c r="L158" s="66"/>
    </row>
    <row r="159" spans="1:12">
      <c r="A159" t="s">
        <v>124</v>
      </c>
      <c r="B159" s="51" t="s">
        <v>105</v>
      </c>
      <c r="C159" s="46" t="s">
        <v>208</v>
      </c>
      <c r="D159" s="46" t="s">
        <v>209</v>
      </c>
      <c r="E159" s="8">
        <v>116600</v>
      </c>
      <c r="F159" s="8"/>
      <c r="G159" s="9"/>
      <c r="H159" s="21"/>
      <c r="I159" s="35"/>
      <c r="J159" s="95"/>
      <c r="K159" s="27">
        <f t="shared" si="2"/>
        <v>0</v>
      </c>
      <c r="L159" s="66"/>
    </row>
    <row r="160" spans="1:12" ht="14.5">
      <c r="A160" t="s">
        <v>16</v>
      </c>
      <c r="B160" s="51">
        <v>1012504386</v>
      </c>
      <c r="C160" s="39">
        <v>7300061397</v>
      </c>
      <c r="D160" s="85" t="s">
        <v>210</v>
      </c>
      <c r="E160" s="8">
        <v>561789.4</v>
      </c>
      <c r="F160" s="8">
        <v>561789.4</v>
      </c>
      <c r="G160" s="9"/>
      <c r="H160" s="21"/>
      <c r="I160" s="83"/>
      <c r="J160" s="82">
        <v>561789.4</v>
      </c>
      <c r="K160" s="27">
        <f t="shared" si="2"/>
        <v>561789.4</v>
      </c>
      <c r="L160" s="66" t="s">
        <v>72</v>
      </c>
    </row>
    <row r="161" spans="1:12">
      <c r="A161" t="s">
        <v>176</v>
      </c>
      <c r="B161" s="51">
        <v>1012506101</v>
      </c>
      <c r="C161" s="39">
        <v>7300061399</v>
      </c>
      <c r="D161" s="46" t="s">
        <v>211</v>
      </c>
      <c r="E161" s="5">
        <v>1700</v>
      </c>
      <c r="F161" s="5">
        <v>1700</v>
      </c>
      <c r="G161" s="6"/>
      <c r="H161" s="20"/>
      <c r="I161" s="62">
        <v>1700</v>
      </c>
      <c r="J161" s="84"/>
      <c r="K161" s="27">
        <f t="shared" si="2"/>
        <v>1700</v>
      </c>
      <c r="L161" s="66"/>
    </row>
    <row r="162" spans="1:12">
      <c r="A162" t="s">
        <v>176</v>
      </c>
      <c r="B162" s="51">
        <v>1012520051</v>
      </c>
      <c r="C162" s="39">
        <v>7300061400</v>
      </c>
      <c r="D162" s="46" t="s">
        <v>212</v>
      </c>
      <c r="E162" s="8">
        <v>15255</v>
      </c>
      <c r="F162" s="8">
        <v>15255</v>
      </c>
      <c r="G162" s="9"/>
      <c r="H162" s="21"/>
      <c r="I162" s="35"/>
      <c r="J162" s="36">
        <v>15255</v>
      </c>
      <c r="K162" s="27">
        <f t="shared" si="2"/>
        <v>15255</v>
      </c>
      <c r="L162" s="66"/>
    </row>
    <row r="163" spans="1:12">
      <c r="A163" t="s">
        <v>19</v>
      </c>
      <c r="B163" s="51">
        <v>1012546676</v>
      </c>
      <c r="C163" s="39">
        <v>7300061603</v>
      </c>
      <c r="D163" s="46" t="s">
        <v>213</v>
      </c>
      <c r="E163" s="8">
        <v>47336</v>
      </c>
      <c r="F163" s="13">
        <v>47336</v>
      </c>
      <c r="G163" s="9"/>
      <c r="H163" s="21"/>
      <c r="I163" s="35"/>
      <c r="J163" s="36"/>
      <c r="K163" s="27">
        <f t="shared" si="2"/>
        <v>0</v>
      </c>
      <c r="L163" s="66"/>
    </row>
    <row r="164" spans="1:12">
      <c r="A164" t="s">
        <v>24</v>
      </c>
      <c r="B164" s="51">
        <v>1012511693</v>
      </c>
      <c r="C164" s="39">
        <v>7300062074</v>
      </c>
      <c r="D164" s="46" t="s">
        <v>214</v>
      </c>
      <c r="E164" s="8">
        <v>1414866.8</v>
      </c>
      <c r="F164" s="8">
        <v>1334780</v>
      </c>
      <c r="G164" s="9"/>
      <c r="H164" s="21"/>
      <c r="I164" s="35"/>
      <c r="J164" s="36">
        <v>0</v>
      </c>
      <c r="K164" s="27">
        <f t="shared" si="2"/>
        <v>0</v>
      </c>
      <c r="L164" s="66"/>
    </row>
    <row r="165" spans="1:12">
      <c r="A165" t="s">
        <v>124</v>
      </c>
      <c r="B165" s="51" t="s">
        <v>105</v>
      </c>
      <c r="C165" s="59" t="s">
        <v>215</v>
      </c>
      <c r="D165" s="46" t="s">
        <v>216</v>
      </c>
      <c r="E165" s="8">
        <v>34980</v>
      </c>
      <c r="F165" s="8"/>
      <c r="G165" s="9"/>
      <c r="H165" s="21"/>
      <c r="I165" s="35"/>
      <c r="J165" s="36"/>
      <c r="K165" s="27">
        <f t="shared" si="2"/>
        <v>0</v>
      </c>
      <c r="L165" s="66"/>
    </row>
    <row r="166" spans="1:12">
      <c r="A166" t="s">
        <v>80</v>
      </c>
      <c r="B166" s="51">
        <v>1012585619</v>
      </c>
      <c r="C166" s="39">
        <v>7300062037</v>
      </c>
      <c r="D166" s="46" t="s">
        <v>217</v>
      </c>
      <c r="E166" s="8">
        <v>13843</v>
      </c>
      <c r="F166" s="8">
        <v>13843</v>
      </c>
      <c r="G166" s="9"/>
      <c r="H166" s="21"/>
      <c r="I166" s="35">
        <v>9081.01</v>
      </c>
      <c r="J166" s="36">
        <v>4000</v>
      </c>
      <c r="K166" s="27">
        <f t="shared" si="2"/>
        <v>13081.01</v>
      </c>
      <c r="L166" s="66"/>
    </row>
    <row r="167" spans="1:12">
      <c r="A167" t="s">
        <v>32</v>
      </c>
      <c r="B167" s="51">
        <v>1012585311</v>
      </c>
      <c r="C167" s="39">
        <v>7300062051</v>
      </c>
      <c r="D167" s="46" t="s">
        <v>218</v>
      </c>
      <c r="E167" s="8">
        <v>3110.04</v>
      </c>
      <c r="F167" s="8">
        <v>3110.04</v>
      </c>
      <c r="G167" s="9"/>
      <c r="H167" s="21"/>
      <c r="I167" s="63">
        <v>2550.23</v>
      </c>
      <c r="J167" s="36">
        <v>0</v>
      </c>
      <c r="K167" s="27">
        <f t="shared" si="2"/>
        <v>2550.23</v>
      </c>
      <c r="L167" s="66" t="s">
        <v>47</v>
      </c>
    </row>
    <row r="168" spans="1:12">
      <c r="A168" t="s">
        <v>19</v>
      </c>
      <c r="B168" s="51" t="s">
        <v>133</v>
      </c>
      <c r="C168" s="59" t="s">
        <v>219</v>
      </c>
      <c r="D168" s="60" t="s">
        <v>220</v>
      </c>
      <c r="E168" s="8">
        <v>4614.75</v>
      </c>
      <c r="F168" s="8"/>
      <c r="G168" s="9"/>
      <c r="H168" s="21"/>
      <c r="I168" s="35"/>
      <c r="J168" s="36"/>
      <c r="K168" s="27">
        <f t="shared" si="2"/>
        <v>0</v>
      </c>
      <c r="L168" s="66"/>
    </row>
    <row r="169" spans="1:12">
      <c r="A169" t="s">
        <v>24</v>
      </c>
      <c r="B169" s="51">
        <v>1012596000</v>
      </c>
      <c r="C169" s="39">
        <v>7300062093</v>
      </c>
      <c r="D169" s="46" t="s">
        <v>221</v>
      </c>
      <c r="E169" s="8">
        <v>37500</v>
      </c>
      <c r="F169" s="8">
        <v>37500</v>
      </c>
      <c r="G169" s="9"/>
      <c r="H169" s="21"/>
      <c r="I169" s="35"/>
      <c r="J169" s="36">
        <v>24000</v>
      </c>
      <c r="K169" s="27">
        <f t="shared" si="2"/>
        <v>24000</v>
      </c>
      <c r="L169" s="66"/>
    </row>
    <row r="170" spans="1:12">
      <c r="A170" t="s">
        <v>24</v>
      </c>
      <c r="B170" s="51">
        <v>1012605723</v>
      </c>
      <c r="C170" s="39">
        <v>7300062256</v>
      </c>
      <c r="D170" s="57" t="s">
        <v>222</v>
      </c>
      <c r="E170" s="8">
        <v>27984</v>
      </c>
      <c r="F170" s="8">
        <v>27984</v>
      </c>
      <c r="G170" s="9"/>
      <c r="H170" s="21"/>
      <c r="I170" s="35"/>
      <c r="J170" s="36">
        <v>10000</v>
      </c>
      <c r="K170" s="27">
        <f t="shared" si="2"/>
        <v>10000</v>
      </c>
      <c r="L170" s="66"/>
    </row>
    <row r="171" spans="1:12">
      <c r="A171" t="s">
        <v>24</v>
      </c>
      <c r="B171" s="51">
        <v>1012611581</v>
      </c>
      <c r="C171" s="39">
        <v>7300062255</v>
      </c>
      <c r="D171" s="46" t="s">
        <v>223</v>
      </c>
      <c r="E171" s="8">
        <v>14416</v>
      </c>
      <c r="F171" s="8">
        <v>14416</v>
      </c>
      <c r="G171" s="9"/>
      <c r="H171" s="21"/>
      <c r="I171" s="35"/>
      <c r="J171" s="36">
        <v>4000</v>
      </c>
      <c r="K171" s="27">
        <f t="shared" si="2"/>
        <v>4000</v>
      </c>
      <c r="L171" s="66"/>
    </row>
    <row r="172" spans="1:12">
      <c r="A172" t="s">
        <v>32</v>
      </c>
      <c r="B172" s="51">
        <v>1012635414</v>
      </c>
      <c r="C172" s="39">
        <v>7300062419</v>
      </c>
      <c r="D172" s="46" t="s">
        <v>224</v>
      </c>
      <c r="E172" s="8">
        <v>6137.4</v>
      </c>
      <c r="F172" s="8">
        <v>6137.4</v>
      </c>
      <c r="G172" s="9"/>
      <c r="H172" s="21"/>
      <c r="I172" s="35">
        <v>3498.32</v>
      </c>
      <c r="J172" s="36">
        <v>0</v>
      </c>
      <c r="K172" s="27">
        <f t="shared" si="2"/>
        <v>3498.32</v>
      </c>
      <c r="L172" s="66" t="s">
        <v>49</v>
      </c>
    </row>
    <row r="173" spans="1:12">
      <c r="A173" t="s">
        <v>80</v>
      </c>
      <c r="B173" s="51">
        <v>1012632352</v>
      </c>
      <c r="C173" s="39">
        <v>7300062437</v>
      </c>
      <c r="D173" s="46" t="s">
        <v>225</v>
      </c>
      <c r="E173" s="8">
        <v>27560</v>
      </c>
      <c r="F173" s="8">
        <v>27560</v>
      </c>
      <c r="G173" s="9"/>
      <c r="H173" s="21"/>
      <c r="I173" s="35"/>
      <c r="J173" s="36">
        <v>15000</v>
      </c>
      <c r="K173" s="27">
        <f t="shared" si="2"/>
        <v>15000</v>
      </c>
      <c r="L173" s="66"/>
    </row>
    <row r="174" spans="1:12">
      <c r="A174" t="s">
        <v>80</v>
      </c>
      <c r="B174" s="51">
        <v>1012646554</v>
      </c>
      <c r="C174" s="39">
        <v>7300062575</v>
      </c>
      <c r="D174" s="46" t="s">
        <v>226</v>
      </c>
      <c r="E174" s="8">
        <v>218</v>
      </c>
      <c r="F174" s="8">
        <v>218</v>
      </c>
      <c r="G174" s="9"/>
      <c r="H174" s="21"/>
      <c r="I174" s="35">
        <v>218</v>
      </c>
      <c r="J174" s="36">
        <v>0</v>
      </c>
      <c r="K174" s="27">
        <f t="shared" si="2"/>
        <v>218</v>
      </c>
      <c r="L174" s="66"/>
    </row>
    <row r="175" spans="1:12">
      <c r="A175" t="s">
        <v>99</v>
      </c>
      <c r="B175" s="51">
        <v>1012655967</v>
      </c>
      <c r="C175" s="39">
        <v>7300062568</v>
      </c>
      <c r="D175" s="46" t="s">
        <v>227</v>
      </c>
      <c r="E175" s="8">
        <v>19515.36</v>
      </c>
      <c r="F175" s="8">
        <v>19515.36</v>
      </c>
      <c r="G175" s="9"/>
      <c r="H175" s="21"/>
      <c r="I175" s="35"/>
      <c r="J175" s="36">
        <v>19515.36</v>
      </c>
      <c r="K175" s="27">
        <f t="shared" si="2"/>
        <v>19515.36</v>
      </c>
      <c r="L175" s="66"/>
    </row>
    <row r="176" spans="1:12">
      <c r="A176" t="s">
        <v>99</v>
      </c>
      <c r="B176" s="51">
        <v>1012639901</v>
      </c>
      <c r="C176" s="39">
        <v>7300062577</v>
      </c>
      <c r="D176" s="46" t="s">
        <v>228</v>
      </c>
      <c r="E176" s="8">
        <v>10600</v>
      </c>
      <c r="F176" s="8">
        <v>10600</v>
      </c>
      <c r="G176" s="9"/>
      <c r="H176" s="21"/>
      <c r="I176" s="35">
        <v>7420</v>
      </c>
      <c r="J176" s="36"/>
      <c r="K176" s="27">
        <f t="shared" si="2"/>
        <v>7420</v>
      </c>
      <c r="L176" s="66"/>
    </row>
    <row r="177" spans="1:12">
      <c r="A177" t="s">
        <v>124</v>
      </c>
      <c r="B177" s="51" t="s">
        <v>105</v>
      </c>
      <c r="C177" s="46" t="s">
        <v>229</v>
      </c>
      <c r="D177" s="46" t="s">
        <v>230</v>
      </c>
      <c r="E177" s="8">
        <v>11660</v>
      </c>
      <c r="F177" s="8"/>
      <c r="G177" s="9"/>
      <c r="H177" s="21"/>
      <c r="I177" s="35"/>
      <c r="J177" s="36"/>
      <c r="K177" s="27">
        <f t="shared" si="2"/>
        <v>0</v>
      </c>
      <c r="L177" s="66"/>
    </row>
    <row r="178" spans="1:12">
      <c r="A178" t="s">
        <v>176</v>
      </c>
      <c r="B178" s="51">
        <v>1012641412</v>
      </c>
      <c r="C178" s="46"/>
      <c r="D178" s="46" t="s">
        <v>231</v>
      </c>
      <c r="E178" s="8">
        <v>213800</v>
      </c>
      <c r="F178" s="8"/>
      <c r="G178" s="9"/>
      <c r="H178" s="21"/>
      <c r="I178" s="35"/>
      <c r="J178" s="36">
        <v>213800</v>
      </c>
      <c r="K178" s="27">
        <f t="shared" si="2"/>
        <v>213800</v>
      </c>
      <c r="L178" s="66" t="s">
        <v>232</v>
      </c>
    </row>
    <row r="179" spans="1:12">
      <c r="A179" t="s">
        <v>12</v>
      </c>
      <c r="B179" s="51">
        <v>1012656949</v>
      </c>
      <c r="C179" s="46"/>
      <c r="D179" s="46" t="s">
        <v>233</v>
      </c>
      <c r="E179" s="8">
        <v>1770000</v>
      </c>
      <c r="F179" s="8"/>
      <c r="G179" s="9"/>
      <c r="H179" s="21"/>
      <c r="I179" s="35"/>
      <c r="J179" s="36"/>
      <c r="K179" s="27">
        <f t="shared" si="2"/>
        <v>0</v>
      </c>
      <c r="L179" s="66"/>
    </row>
    <row r="180" spans="1:12">
      <c r="A180" t="s">
        <v>80</v>
      </c>
      <c r="B180" s="51">
        <v>1012682753</v>
      </c>
      <c r="C180" s="46">
        <v>7300062782</v>
      </c>
      <c r="D180" s="46" t="s">
        <v>234</v>
      </c>
      <c r="E180" s="8">
        <v>1514.35</v>
      </c>
      <c r="F180" s="8">
        <v>1514.35</v>
      </c>
      <c r="G180" s="9"/>
      <c r="H180" s="21"/>
      <c r="I180" s="35">
        <v>1514.35</v>
      </c>
      <c r="J180" s="36">
        <v>0</v>
      </c>
      <c r="K180" s="27">
        <f t="shared" si="2"/>
        <v>1514.35</v>
      </c>
      <c r="L180" s="66"/>
    </row>
    <row r="181" spans="1:12">
      <c r="A181" t="s">
        <v>19</v>
      </c>
      <c r="B181" s="51">
        <v>1012682730</v>
      </c>
      <c r="C181" s="46"/>
      <c r="D181" s="46" t="s">
        <v>235</v>
      </c>
      <c r="E181" s="8">
        <v>60000</v>
      </c>
      <c r="F181" s="8"/>
      <c r="G181" s="9"/>
      <c r="H181" s="21"/>
      <c r="I181" s="35"/>
      <c r="J181" s="36"/>
      <c r="K181" s="27">
        <f t="shared" si="2"/>
        <v>0</v>
      </c>
      <c r="L181" s="66"/>
    </row>
    <row r="182" spans="1:12">
      <c r="A182" t="s">
        <v>236</v>
      </c>
      <c r="B182" s="51">
        <v>1012685860</v>
      </c>
      <c r="C182" s="46"/>
      <c r="D182" s="46" t="s">
        <v>237</v>
      </c>
      <c r="E182" s="8">
        <v>67800</v>
      </c>
      <c r="F182" s="8"/>
      <c r="G182" s="9"/>
      <c r="H182" s="21"/>
      <c r="I182" s="35"/>
      <c r="J182" s="36">
        <v>67800</v>
      </c>
      <c r="K182" s="27">
        <f t="shared" si="2"/>
        <v>67800</v>
      </c>
      <c r="L182" s="66" t="s">
        <v>238</v>
      </c>
    </row>
    <row r="183" spans="1:12">
      <c r="A183" t="s">
        <v>124</v>
      </c>
      <c r="B183" s="51" t="s">
        <v>105</v>
      </c>
      <c r="C183" s="46" t="s">
        <v>239</v>
      </c>
      <c r="D183" s="46" t="s">
        <v>240</v>
      </c>
      <c r="E183" s="8">
        <v>81620</v>
      </c>
      <c r="F183" s="8"/>
      <c r="G183" s="9"/>
      <c r="H183" s="21"/>
      <c r="I183" s="35"/>
      <c r="J183" s="36"/>
      <c r="K183" s="27">
        <f t="shared" si="2"/>
        <v>0</v>
      </c>
      <c r="L183" s="66"/>
    </row>
    <row r="184" spans="1:12">
      <c r="A184" t="s">
        <v>19</v>
      </c>
      <c r="B184" s="51" t="s">
        <v>105</v>
      </c>
      <c r="C184" s="46" t="s">
        <v>241</v>
      </c>
      <c r="D184" s="46" t="s">
        <v>242</v>
      </c>
      <c r="E184" s="8">
        <v>4973.6000000000004</v>
      </c>
      <c r="F184" s="8"/>
      <c r="G184" s="9"/>
      <c r="H184" s="21"/>
      <c r="I184" s="35"/>
      <c r="J184" s="36"/>
      <c r="K184" s="27">
        <f t="shared" si="2"/>
        <v>0</v>
      </c>
      <c r="L184" s="66"/>
    </row>
    <row r="185" spans="1:12">
      <c r="A185" t="s">
        <v>19</v>
      </c>
      <c r="B185" s="51" t="s">
        <v>105</v>
      </c>
      <c r="C185" s="46" t="s">
        <v>243</v>
      </c>
      <c r="D185" s="46" t="s">
        <v>244</v>
      </c>
      <c r="E185" s="8">
        <v>34097.5</v>
      </c>
      <c r="F185" s="8"/>
      <c r="G185" s="9"/>
      <c r="H185" s="21"/>
      <c r="I185" s="35"/>
      <c r="J185" s="36"/>
      <c r="K185" s="27">
        <f t="shared" si="2"/>
        <v>0</v>
      </c>
      <c r="L185" s="66"/>
    </row>
    <row r="186" spans="1:12">
      <c r="A186" t="s">
        <v>245</v>
      </c>
      <c r="B186" s="51">
        <v>1012736821</v>
      </c>
      <c r="C186" s="46">
        <v>7300063232</v>
      </c>
      <c r="D186" s="46" t="s">
        <v>246</v>
      </c>
      <c r="E186" s="8">
        <v>49612.88</v>
      </c>
      <c r="F186" s="8">
        <v>49612.88</v>
      </c>
      <c r="G186" s="9"/>
      <c r="H186" s="21"/>
      <c r="I186" s="35"/>
      <c r="J186" s="36">
        <v>49612.88</v>
      </c>
      <c r="K186" s="27">
        <f t="shared" si="2"/>
        <v>49612.88</v>
      </c>
      <c r="L186" s="66" t="s">
        <v>247</v>
      </c>
    </row>
    <row r="187" spans="1:12">
      <c r="A187" t="s">
        <v>32</v>
      </c>
      <c r="B187" s="51">
        <v>1012764025</v>
      </c>
      <c r="C187" s="46"/>
      <c r="D187" s="46" t="s">
        <v>248</v>
      </c>
      <c r="E187" s="8">
        <v>2500000</v>
      </c>
      <c r="F187" s="8"/>
      <c r="G187" s="9"/>
      <c r="H187" s="21"/>
      <c r="I187" s="8"/>
      <c r="J187" s="36">
        <v>2500000</v>
      </c>
      <c r="K187" s="27">
        <f t="shared" si="2"/>
        <v>2500000</v>
      </c>
      <c r="L187" s="66"/>
    </row>
    <row r="188" spans="1:12">
      <c r="A188" t="s">
        <v>245</v>
      </c>
      <c r="B188" s="51"/>
      <c r="C188" s="46"/>
      <c r="D188" s="68" t="s">
        <v>249</v>
      </c>
      <c r="E188" s="69">
        <v>41821.300000000003</v>
      </c>
      <c r="F188" s="8"/>
      <c r="G188" s="9"/>
      <c r="H188" s="21"/>
      <c r="I188" s="35"/>
      <c r="J188" s="36">
        <v>41812.300000000003</v>
      </c>
      <c r="K188" s="27">
        <f t="shared" si="2"/>
        <v>41812.300000000003</v>
      </c>
      <c r="L188" s="66" t="s">
        <v>238</v>
      </c>
    </row>
    <row r="189" spans="1:12">
      <c r="A189" t="s">
        <v>178</v>
      </c>
      <c r="B189" s="51">
        <v>1012779850</v>
      </c>
      <c r="C189" s="46"/>
      <c r="D189" s="68" t="s">
        <v>250</v>
      </c>
      <c r="E189" s="69">
        <v>4012.82</v>
      </c>
      <c r="F189" s="8"/>
      <c r="G189" s="9"/>
      <c r="H189" s="21"/>
      <c r="I189" s="35"/>
      <c r="J189" s="36">
        <v>4012.82</v>
      </c>
      <c r="K189" s="27">
        <f t="shared" si="2"/>
        <v>4012.82</v>
      </c>
      <c r="L189" s="66" t="s">
        <v>238</v>
      </c>
    </row>
    <row r="190" spans="1:12">
      <c r="A190" t="s">
        <v>178</v>
      </c>
      <c r="B190" s="51"/>
      <c r="C190" s="46"/>
      <c r="D190" s="68" t="s">
        <v>251</v>
      </c>
      <c r="E190" s="69">
        <v>8606.61</v>
      </c>
      <c r="F190" s="8"/>
      <c r="G190" s="9"/>
      <c r="H190" s="21"/>
      <c r="I190" s="96"/>
      <c r="J190" s="95">
        <v>8606.61</v>
      </c>
      <c r="K190" s="27">
        <f t="shared" si="2"/>
        <v>8606.61</v>
      </c>
      <c r="L190" s="66" t="s">
        <v>238</v>
      </c>
    </row>
    <row r="191" spans="1:12" s="41" customFormat="1">
      <c r="A191" s="70" t="s">
        <v>178</v>
      </c>
      <c r="B191" s="71"/>
      <c r="C191" s="72">
        <v>7300051017</v>
      </c>
      <c r="D191" s="73" t="s">
        <v>252</v>
      </c>
      <c r="E191" s="74">
        <v>166999.31</v>
      </c>
      <c r="F191" s="75">
        <v>166999.31</v>
      </c>
      <c r="G191" s="76"/>
      <c r="H191" s="77">
        <v>166999.31</v>
      </c>
      <c r="I191" s="78"/>
      <c r="J191" s="79">
        <v>166999.31</v>
      </c>
      <c r="K191" s="80">
        <f t="shared" si="2"/>
        <v>0</v>
      </c>
      <c r="L191" s="81" t="s">
        <v>253</v>
      </c>
    </row>
    <row r="192" spans="1:12">
      <c r="A192" s="70" t="s">
        <v>61</v>
      </c>
      <c r="B192" s="71"/>
      <c r="C192" s="72"/>
      <c r="D192" s="73" t="s">
        <v>254</v>
      </c>
      <c r="E192" s="74"/>
      <c r="F192" s="75"/>
      <c r="G192" s="76"/>
      <c r="H192" s="77"/>
      <c r="I192" s="92"/>
      <c r="J192" s="112">
        <v>1721318</v>
      </c>
      <c r="K192" s="80">
        <f t="shared" si="2"/>
        <v>1721318</v>
      </c>
      <c r="L192" s="81" t="s">
        <v>255</v>
      </c>
    </row>
    <row r="193" spans="1:12">
      <c r="A193" s="70" t="s">
        <v>256</v>
      </c>
      <c r="B193" s="71">
        <v>1012121548</v>
      </c>
      <c r="C193" s="90">
        <v>7300061031</v>
      </c>
      <c r="D193" s="91" t="s">
        <v>257</v>
      </c>
      <c r="E193" s="93">
        <v>530000</v>
      </c>
      <c r="F193" s="93">
        <v>207300</v>
      </c>
      <c r="G193" s="94"/>
      <c r="H193" s="108"/>
      <c r="I193" s="109"/>
      <c r="J193" s="113">
        <v>207300</v>
      </c>
      <c r="K193" s="110">
        <f t="shared" si="2"/>
        <v>207300</v>
      </c>
      <c r="L193" s="81" t="s">
        <v>258</v>
      </c>
    </row>
    <row r="194" spans="1:12">
      <c r="A194" s="41" t="s">
        <v>19</v>
      </c>
      <c r="B194" s="51"/>
      <c r="C194" s="128"/>
      <c r="D194" s="129" t="s">
        <v>261</v>
      </c>
      <c r="E194" s="130"/>
      <c r="F194" s="130"/>
      <c r="G194" s="3"/>
      <c r="H194" s="3"/>
      <c r="I194" s="3"/>
      <c r="J194" s="31">
        <v>2000000</v>
      </c>
      <c r="K194" s="131">
        <f t="shared" si="2"/>
        <v>2000000</v>
      </c>
      <c r="L194" s="132" t="s">
        <v>262</v>
      </c>
    </row>
    <row r="195" spans="1:12" ht="14.5" thickBot="1">
      <c r="A195" s="70" t="s">
        <v>176</v>
      </c>
      <c r="B195" s="116"/>
      <c r="C195" s="100"/>
      <c r="D195" s="101" t="s">
        <v>259</v>
      </c>
      <c r="E195" s="102"/>
      <c r="F195" s="103"/>
      <c r="G195" s="126"/>
      <c r="H195" s="127"/>
      <c r="I195" s="104"/>
      <c r="J195" s="105">
        <v>7990</v>
      </c>
      <c r="K195" s="111">
        <f t="shared" ref="K195" si="3">I195+J195-H195</f>
        <v>7990</v>
      </c>
      <c r="L195" s="67" t="s">
        <v>260</v>
      </c>
    </row>
    <row r="196" spans="1:12">
      <c r="A196" s="114" t="s">
        <v>263</v>
      </c>
      <c r="B196" s="41"/>
      <c r="H196" s="115">
        <f>SUBTOTAL(9,H2:H195)</f>
        <v>8037090.9999999991</v>
      </c>
      <c r="I196" s="115">
        <f>SUBTOTAL(9,I2:I195)</f>
        <v>29118419.22490567</v>
      </c>
      <c r="J196" s="115">
        <f>SUBTOTAL(9,J2:J195)</f>
        <v>48440606.287585571</v>
      </c>
    </row>
  </sheetData>
  <autoFilter ref="A1:K195" xr:uid="{94C15921-0FD0-41E3-8C8D-7738588D0CF0}"/>
  <mergeCells count="14">
    <mergeCell ref="E49:E54"/>
    <mergeCell ref="E92:E93"/>
    <mergeCell ref="I53:I54"/>
    <mergeCell ref="I49:I50"/>
    <mergeCell ref="I51:I52"/>
    <mergeCell ref="J49:J50"/>
    <mergeCell ref="L49:L50"/>
    <mergeCell ref="L51:L52"/>
    <mergeCell ref="J51:J52"/>
    <mergeCell ref="K53:K54"/>
    <mergeCell ref="J53:J54"/>
    <mergeCell ref="L53:L54"/>
    <mergeCell ref="K51:K52"/>
    <mergeCell ref="K49:K50"/>
  </mergeCells>
  <phoneticPr fontId="10" type="noConversion"/>
  <conditionalFormatting sqref="B1:B55 B57:B60 B62:B194">
    <cfRule type="duplicateValues" dxfId="16" priority="82"/>
  </conditionalFormatting>
  <conditionalFormatting sqref="B2:B10">
    <cfRule type="duplicateValues" dxfId="15" priority="13"/>
  </conditionalFormatting>
  <conditionalFormatting sqref="B11">
    <cfRule type="duplicateValues" dxfId="14" priority="12"/>
  </conditionalFormatting>
  <conditionalFormatting sqref="B21">
    <cfRule type="duplicateValues" dxfId="13" priority="10"/>
    <cfRule type="duplicateValues" dxfId="12" priority="11"/>
  </conditionalFormatting>
  <conditionalFormatting sqref="B22">
    <cfRule type="duplicateValues" dxfId="11" priority="8"/>
    <cfRule type="duplicateValues" dxfId="10" priority="9"/>
  </conditionalFormatting>
  <conditionalFormatting sqref="B46:B48">
    <cfRule type="duplicateValues" dxfId="9" priority="14"/>
  </conditionalFormatting>
  <conditionalFormatting sqref="B56">
    <cfRule type="duplicateValues" dxfId="8" priority="3"/>
  </conditionalFormatting>
  <conditionalFormatting sqref="B61">
    <cfRule type="duplicateValues" dxfId="7" priority="2"/>
  </conditionalFormatting>
  <conditionalFormatting sqref="B154">
    <cfRule type="duplicateValues" dxfId="6" priority="6"/>
  </conditionalFormatting>
  <conditionalFormatting sqref="C61">
    <cfRule type="duplicateValues" dxfId="5" priority="1"/>
  </conditionalFormatting>
  <conditionalFormatting sqref="C132">
    <cfRule type="duplicateValues" dxfId="4" priority="7"/>
  </conditionalFormatting>
  <conditionalFormatting sqref="C154">
    <cfRule type="duplicateValues" dxfId="3" priority="5"/>
  </conditionalFormatting>
  <conditionalFormatting sqref="C165 B150:B153 B148:C149 B131:B147 B129:C129 C109:C110 B111:C111 B112:B128 E83 B84:B110 B12:B20 B1 B23:B55 B57:B60 B62:B82 B155:B194">
    <cfRule type="duplicateValues" dxfId="2" priority="16"/>
  </conditionalFormatting>
  <conditionalFormatting sqref="C168">
    <cfRule type="duplicateValues" dxfId="1" priority="4"/>
  </conditionalFormatting>
  <conditionalFormatting sqref="C178:C182 C166:C167 C169:C176 C155:C158 C160:C164 C150:C153 C131 B130 C133:C147 C127:C128 C112:C125 C82:C108 C62 C64:C80 C1:C60 C186:C195">
    <cfRule type="duplicateValues" dxfId="0" priority="17"/>
  </conditionalFormatting>
  <pageMargins left="0.7" right="0.7" top="0.75" bottom="0.75" header="0.3" footer="0.3"/>
  <headerFooter>
    <oddHeader>&amp;L&amp;"Calibri"&amp;10&amp;K000000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F8241C63A424099E16B086982954D" ma:contentTypeVersion="2" ma:contentTypeDescription="Create a new document." ma:contentTypeScope="" ma:versionID="c61c5edf8de5c11bf5aee453e9839ed4">
  <xsd:schema xmlns:xsd="http://www.w3.org/2001/XMLSchema" xmlns:xs="http://www.w3.org/2001/XMLSchema" xmlns:p="http://schemas.microsoft.com/office/2006/metadata/properties" xmlns:ns3="933dc4eb-c854-409e-9b0f-73495a1e6ed4" targetNamespace="http://schemas.microsoft.com/office/2006/metadata/properties" ma:root="true" ma:fieldsID="8caf4c4b15e25d06dcab1537049ed20e" ns3:_="">
    <xsd:import namespace="933dc4eb-c854-409e-9b0f-73495a1e6e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dc4eb-c854-409e-9b0f-73495a1e6e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3dc4eb-c854-409e-9b0f-73495a1e6ed4" xsi:nil="true"/>
  </documentManagement>
</p:properties>
</file>

<file path=customXml/itemProps1.xml><?xml version="1.0" encoding="utf-8"?>
<ds:datastoreItem xmlns:ds="http://schemas.openxmlformats.org/officeDocument/2006/customXml" ds:itemID="{28FE64CB-A2EA-4B87-82C2-55B3DA5001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93E6F8-1E19-477F-9453-72A04FF84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dc4eb-c854-409e-9b0f-73495a1e6e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9226B-A0E7-4E23-8DCC-7A38D922AD3D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933dc4eb-c854-409e-9b0f-73495a1e6ed4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Jia (C/FC)</dc:creator>
  <cp:keywords/>
  <dc:description/>
  <cp:lastModifiedBy>Sun, Jialing (C/EG-V)</cp:lastModifiedBy>
  <cp:revision/>
  <dcterms:created xsi:type="dcterms:W3CDTF">2025-09-19T10:23:33Z</dcterms:created>
  <dcterms:modified xsi:type="dcterms:W3CDTF">2025-09-24T06:59:25Z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0x0101003F7F8241C63A424099E16B086982954D</vt:lpwstr>
  </property>
</Properties>
</file>